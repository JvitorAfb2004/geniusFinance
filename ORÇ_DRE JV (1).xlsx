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EORÇ26" sheetId="1" r:id="rId5"/>
    <sheet state="visible" name="Histórico26" sheetId="2" r:id="rId6"/>
    <sheet state="visible" name="Extrato26" sheetId="3" r:id="rId7"/>
  </sheets>
  <definedNames/>
  <calcPr/>
</workbook>
</file>

<file path=xl/sharedStrings.xml><?xml version="1.0" encoding="utf-8"?>
<sst xmlns="http://schemas.openxmlformats.org/spreadsheetml/2006/main" count="78" uniqueCount="63">
  <si>
    <t>Item</t>
  </si>
  <si>
    <t>Janeiro</t>
  </si>
  <si>
    <t>Real</t>
  </si>
  <si>
    <t>Fevereiro</t>
  </si>
  <si>
    <t>Real 2</t>
  </si>
  <si>
    <t>Março</t>
  </si>
  <si>
    <t>Real 3</t>
  </si>
  <si>
    <t>Abril</t>
  </si>
  <si>
    <t>Real 4</t>
  </si>
  <si>
    <t>Maio</t>
  </si>
  <si>
    <t>Real 5</t>
  </si>
  <si>
    <t>Junho</t>
  </si>
  <si>
    <t>Real 6</t>
  </si>
  <si>
    <t>Julho</t>
  </si>
  <si>
    <t>Real 7</t>
  </si>
  <si>
    <t>Agosto</t>
  </si>
  <si>
    <t>Real 8</t>
  </si>
  <si>
    <t>Setembro</t>
  </si>
  <si>
    <t>Real 9</t>
  </si>
  <si>
    <t>Outubro</t>
  </si>
  <si>
    <t>Real 10</t>
  </si>
  <si>
    <t>Novembro</t>
  </si>
  <si>
    <t>Real 11</t>
  </si>
  <si>
    <t>Dezembro</t>
  </si>
  <si>
    <t>Real 12</t>
  </si>
  <si>
    <t>TOTAL</t>
  </si>
  <si>
    <t>Real 13</t>
  </si>
  <si>
    <t>(=) LUCRO LÍQUIDO</t>
  </si>
  <si>
    <t>Margem Líquida</t>
  </si>
  <si>
    <t>RECEITA</t>
  </si>
  <si>
    <t>Pró-labore</t>
  </si>
  <si>
    <t>Salário</t>
  </si>
  <si>
    <t>Renda extra</t>
  </si>
  <si>
    <t>Investimento (Entrada)</t>
  </si>
  <si>
    <t>Outros (Entrada)</t>
  </si>
  <si>
    <t>(=) RECEITA LÍQUIDA</t>
  </si>
  <si>
    <t>() CUSTOS</t>
  </si>
  <si>
    <t>Lanche</t>
  </si>
  <si>
    <t>Roupa</t>
  </si>
  <si>
    <t>Transporte</t>
  </si>
  <si>
    <t>Igreja</t>
  </si>
  <si>
    <t>Presentes</t>
  </si>
  <si>
    <t>Outros (Saída)</t>
  </si>
  <si>
    <t>Manutenção Casa</t>
  </si>
  <si>
    <t>() DESPESAS</t>
  </si>
  <si>
    <t>Financiamento casa</t>
  </si>
  <si>
    <t>Água</t>
  </si>
  <si>
    <t>Energia</t>
  </si>
  <si>
    <t>Internet / Recarga</t>
  </si>
  <si>
    <t>Feira</t>
  </si>
  <si>
    <t>Farmácia</t>
  </si>
  <si>
    <t>Exames</t>
  </si>
  <si>
    <t>Academia</t>
  </si>
  <si>
    <t>Corte de cabelo</t>
  </si>
  <si>
    <t>Consórcio moto</t>
  </si>
  <si>
    <t>Estudos</t>
  </si>
  <si>
    <t>Investimento (Saída)</t>
  </si>
  <si>
    <t>Data</t>
  </si>
  <si>
    <t>Descrição</t>
  </si>
  <si>
    <t>Valor</t>
  </si>
  <si>
    <t>Categoria</t>
  </si>
  <si>
    <t>Identificador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</si>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</sst>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13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rgb="FF434343"/>
      <name val="Arial"/>
    </font>
    <font>
      <b/>
      <i/>
      <color rgb="FF434343"/>
      <name val="Arial"/>
    </font>
    <font>
      <color theme="1"/>
      <name val="Arial"/>
    </font>
    <font>
      <color rgb="FF434343"/>
      <name val="Roboto"/>
    </font>
    <font>
      <b/>
      <i/>
      <color theme="1"/>
      <name val="Arial"/>
    </font>
    <font>
      <b/>
      <color rgb="FFFFFFFF"/>
      <name val="Roboto"/>
    </font>
    <font>
      <color theme="1"/>
      <name val="Lato"/>
    </font>
    <font>
      <color theme="1"/>
      <name val="Roboto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356854"/>
      </right>
      <top style="thin">
        <color rgb="FF356854"/>
      </top>
      <bottom style="thin">
        <color rgb="FF356854"/>
      </bottom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</border>
    <border>
      <left style="thin">
        <color rgb="FF356854"/>
      </left>
      <right style="thin">
        <color rgb="FF284E3F"/>
      </right>
      <top style="thin">
        <color rgb="FF356854"/>
      </top>
      <bottom style="thin">
        <color rgb="FF356854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2" fillId="2" fontId="3" numFmtId="164" xfId="0" applyAlignment="1" applyBorder="1" applyFont="1" applyNumberFormat="1">
      <alignment horizontal="center" shrinkToFit="0" vertical="center" wrapText="0"/>
    </xf>
    <xf borderId="3" fillId="2" fontId="3" numFmtId="164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ill="1" applyFont="1">
      <alignment horizontal="left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164" xfId="0" applyAlignment="1" applyBorder="1" applyFont="1" applyNumberForma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7" fillId="4" fontId="1" numFmtId="0" xfId="0" applyAlignment="1" applyBorder="1" applyFill="1" applyFont="1">
      <alignment horizontal="left" shrinkToFit="0" vertical="center" wrapText="0"/>
    </xf>
    <xf borderId="8" fillId="4" fontId="1" numFmtId="164" xfId="0" applyAlignment="1" applyBorder="1" applyFont="1" applyNumberFormat="1">
      <alignment horizontal="center" shrinkToFit="0" vertical="center" wrapText="0"/>
    </xf>
    <xf borderId="9" fillId="4" fontId="1" numFmtId="164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left" shrinkToFit="0" vertical="center" wrapText="0"/>
    </xf>
    <xf borderId="5" fillId="3" fontId="6" numFmtId="164" xfId="0" applyAlignment="1" applyBorder="1" applyFont="1" applyNumberFormat="1">
      <alignment horizontal="center" shrinkToFit="0" vertical="center" wrapText="0"/>
    </xf>
    <xf borderId="5" fillId="3" fontId="3" numFmtId="164" xfId="0" applyAlignment="1" applyBorder="1" applyFont="1" applyNumberFormat="1">
      <alignment horizontal="center" shrinkToFit="0" vertical="center" wrapText="0"/>
    </xf>
    <xf borderId="6" fillId="3" fontId="3" numFmtId="164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2" fillId="2" fontId="6" numFmtId="164" xfId="0" applyAlignment="1" applyBorder="1" applyFont="1" applyNumberFormat="1">
      <alignment horizontal="center" shrinkToFit="0" vertical="center" wrapText="0"/>
    </xf>
    <xf borderId="5" fillId="2" fontId="3" numFmtId="164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left" shrinkToFit="0" vertical="center" wrapText="0"/>
    </xf>
    <xf borderId="2" fillId="2" fontId="7" numFmtId="164" xfId="0" applyAlignment="1" applyBorder="1" applyFont="1" applyNumberFormat="1">
      <alignment horizontal="center" shrinkToFit="0" vertical="center" wrapText="0"/>
    </xf>
    <xf borderId="2" fillId="2" fontId="4" numFmtId="164" xfId="0" applyAlignment="1" applyBorder="1" applyFont="1" applyNumberFormat="1">
      <alignment horizontal="center" shrinkToFit="0" vertical="center" wrapText="0"/>
    </xf>
    <xf borderId="3" fillId="2" fontId="7" numFmtId="164" xfId="0" applyAlignment="1" applyBorder="1" applyFont="1" applyNumberFormat="1">
      <alignment horizontal="center" shrinkToFit="0" vertical="center" wrapText="0"/>
    </xf>
    <xf borderId="7" fillId="4" fontId="2" numFmtId="0" xfId="0" applyAlignment="1" applyBorder="1" applyFont="1">
      <alignment horizontal="left" shrinkToFit="0" vertical="center" wrapText="0"/>
    </xf>
    <xf borderId="8" fillId="4" fontId="2" numFmtId="164" xfId="0" applyAlignment="1" applyBorder="1" applyFont="1" applyNumberFormat="1">
      <alignment horizontal="center" shrinkToFit="0" vertical="center" wrapText="0"/>
    </xf>
    <xf borderId="9" fillId="4" fontId="2" numFmtId="164" xfId="0" applyAlignment="1" applyBorder="1" applyFont="1" applyNumberFormat="1">
      <alignment horizontal="center" shrinkToFit="0" vertical="center" wrapText="0"/>
    </xf>
    <xf borderId="10" fillId="3" fontId="6" numFmtId="0" xfId="0" applyAlignment="1" applyBorder="1" applyFont="1">
      <alignment horizontal="left" shrinkToFit="0" vertical="center" wrapText="0"/>
    </xf>
    <xf borderId="11" fillId="3" fontId="6" numFmtId="164" xfId="0" applyAlignment="1" applyBorder="1" applyFont="1" applyNumberFormat="1">
      <alignment horizontal="center" shrinkToFit="0" vertical="center" wrapText="0"/>
    </xf>
    <xf borderId="11" fillId="3" fontId="3" numFmtId="164" xfId="0" applyAlignment="1" applyBorder="1" applyFont="1" applyNumberFormat="1">
      <alignment horizontal="center" shrinkToFit="0" vertical="center" wrapText="0"/>
    </xf>
    <xf borderId="12" fillId="3" fontId="3" numFmtId="164" xfId="0" applyAlignment="1" applyBorder="1" applyFont="1" applyNumberFormat="1">
      <alignment horizontal="center" shrinkToFit="0" vertical="center" wrapText="0"/>
    </xf>
    <xf borderId="13" fillId="3" fontId="3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8" numFmtId="0" xfId="0" applyAlignment="1" applyFont="1">
      <alignment horizontal="left" shrinkToFit="0" vertical="center" wrapText="0"/>
    </xf>
    <xf borderId="1" fillId="2" fontId="6" numFmtId="165" xfId="0" applyAlignment="1" applyBorder="1" applyFont="1" applyNumberFormat="1">
      <alignment horizontal="right"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3" fillId="2" fontId="9" numFmtId="0" xfId="0" applyAlignment="1" applyBorder="1" applyFont="1">
      <alignment readingOrder="0" shrinkToFit="0" vertical="center" wrapText="0"/>
    </xf>
    <xf borderId="6" fillId="3" fontId="9" numFmtId="0" xfId="0" applyAlignment="1" applyBorder="1" applyFont="1">
      <alignment readingOrder="0" shrinkToFit="0" vertical="center" wrapText="0"/>
    </xf>
    <xf borderId="6" fillId="3" fontId="5" numFmtId="0" xfId="0" applyAlignment="1" applyBorder="1" applyFont="1">
      <alignment readingOrder="0" shrinkToFit="0" vertical="center" wrapText="0"/>
    </xf>
    <xf borderId="3" fillId="2" fontId="9" numFmtId="0" xfId="0" applyAlignment="1" applyBorder="1" applyFont="1">
      <alignment shrinkToFit="0" vertical="center" wrapText="0"/>
    </xf>
    <xf borderId="6" fillId="3" fontId="9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shrinkToFit="0" vertical="bottom" wrapText="0"/>
    </xf>
    <xf borderId="6" fillId="3" fontId="10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shrinkToFit="0" vertical="bottom" wrapText="0"/>
    </xf>
    <xf borderId="13" fillId="3" fontId="5" numFmtId="0" xfId="0" applyAlignment="1" applyBorder="1" applyFont="1">
      <alignment shrinkToFit="0" vertical="bottom" wrapText="0"/>
    </xf>
    <xf borderId="0" fillId="0" fontId="11" numFmtId="166" xfId="0" applyAlignment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DREORÇ26-style">
      <tableStyleElement dxfId="1" type="headerRow"/>
      <tableStyleElement dxfId="2" type="firstRowStripe"/>
      <tableStyleElement dxfId="3" type="secondRowStripe"/>
    </tableStyle>
    <tableStyle count="3" pivot="0" name="Histórico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31" displayName="Table_1" name="Table_1" id="1">
  <tableColumns count="27">
    <tableColumn name="Item" id="1"/>
    <tableColumn name="Janeiro" id="2"/>
    <tableColumn name="Real" id="3"/>
    <tableColumn name="Fevereiro" id="4"/>
    <tableColumn name="Real 2" id="5"/>
    <tableColumn name="Março" id="6"/>
    <tableColumn name="Real 3" id="7"/>
    <tableColumn name="Abril" id="8"/>
    <tableColumn name="Real 4" id="9"/>
    <tableColumn name="Maio" id="10"/>
    <tableColumn name="Real 5" id="11"/>
    <tableColumn name="Junho" id="12"/>
    <tableColumn name="Real 6" id="13"/>
    <tableColumn name="Julho" id="14"/>
    <tableColumn name="Real 7" id="15"/>
    <tableColumn name="Agosto" id="16"/>
    <tableColumn name="Real 8" id="17"/>
    <tableColumn name="Setembro" id="18"/>
    <tableColumn name="Real 9" id="19"/>
    <tableColumn name="Outubro" id="20"/>
    <tableColumn name="Real 10" id="21"/>
    <tableColumn name="Novembro" id="22"/>
    <tableColumn name="Real 11" id="23"/>
    <tableColumn name="Dezembro" id="24"/>
    <tableColumn name="Real 12" id="25"/>
    <tableColumn name="TOTAL" id="26"/>
    <tableColumn name="Real 13" id="27"/>
  </tableColumns>
  <tableStyleInfo name="DREORÇ26-style" showColumnStripes="0" showFirstColumn="1" showLastColumn="1" showRowStripes="1"/>
</table>
</file>

<file path=xl/tables/table2.xml><?xml version="1.0" encoding="utf-8"?>
<table xmlns="http://schemas.openxmlformats.org/spreadsheetml/2006/main" ref="A1:D341" displayName="Table_2" name="Table_2" id="2">
  <tableColumns count="4">
    <tableColumn name="Data" id="1"/>
    <tableColumn name="Descrição" id="2"/>
    <tableColumn name="Valor" id="3"/>
    <tableColumn name="Categoria" id="4"/>
  </tableColumns>
  <tableStyleInfo name="Histórico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6" width="12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4" t="s">
        <v>27</v>
      </c>
      <c r="B2" s="5">
        <f t="shared" ref="B2:AA2" si="1">B4-(B19+B11)</f>
        <v>0</v>
      </c>
      <c r="C2" s="5">
        <f t="shared" si="1"/>
        <v>0</v>
      </c>
      <c r="D2" s="5">
        <f t="shared" si="1"/>
        <v>0</v>
      </c>
      <c r="E2" s="5">
        <f t="shared" si="1"/>
        <v>-1.31</v>
      </c>
      <c r="F2" s="5">
        <f t="shared" si="1"/>
        <v>-120</v>
      </c>
      <c r="G2" s="5">
        <f t="shared" si="1"/>
        <v>0</v>
      </c>
      <c r="H2" s="5">
        <f t="shared" si="1"/>
        <v>-120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  <c r="Q2" s="5">
        <f t="shared" si="1"/>
        <v>0</v>
      </c>
      <c r="R2" s="5">
        <f t="shared" si="1"/>
        <v>0</v>
      </c>
      <c r="S2" s="5">
        <f t="shared" si="1"/>
        <v>0</v>
      </c>
      <c r="T2" s="5">
        <f t="shared" si="1"/>
        <v>0</v>
      </c>
      <c r="U2" s="5">
        <f t="shared" si="1"/>
        <v>0</v>
      </c>
      <c r="V2" s="5">
        <f t="shared" si="1"/>
        <v>0</v>
      </c>
      <c r="W2" s="5">
        <f t="shared" si="1"/>
        <v>0</v>
      </c>
      <c r="X2" s="5">
        <f t="shared" si="1"/>
        <v>0</v>
      </c>
      <c r="Y2" s="5">
        <f t="shared" si="1"/>
        <v>0</v>
      </c>
      <c r="Z2" s="5">
        <f t="shared" si="1"/>
        <v>-240</v>
      </c>
      <c r="AA2" s="6">
        <f t="shared" si="1"/>
        <v>-1.31</v>
      </c>
    </row>
    <row r="3" ht="22.5" customHeight="1">
      <c r="A3" s="7" t="s">
        <v>28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10"/>
    </row>
    <row r="4" ht="22.5" customHeight="1">
      <c r="A4" s="11" t="s">
        <v>29</v>
      </c>
      <c r="B4" s="12">
        <f t="shared" ref="B4:AA4" si="2">SUM(B5:B9)</f>
        <v>0</v>
      </c>
      <c r="C4" s="12">
        <f t="shared" si="2"/>
        <v>0</v>
      </c>
      <c r="D4" s="12">
        <f t="shared" si="2"/>
        <v>0</v>
      </c>
      <c r="E4" s="12">
        <f t="shared" si="2"/>
        <v>0</v>
      </c>
      <c r="F4" s="12">
        <f t="shared" si="2"/>
        <v>0</v>
      </c>
      <c r="G4" s="12">
        <f t="shared" si="2"/>
        <v>0</v>
      </c>
      <c r="H4" s="12">
        <f t="shared" si="2"/>
        <v>0</v>
      </c>
      <c r="I4" s="12">
        <f t="shared" si="2"/>
        <v>0</v>
      </c>
      <c r="J4" s="12">
        <f t="shared" si="2"/>
        <v>0</v>
      </c>
      <c r="K4" s="12">
        <f t="shared" si="2"/>
        <v>0</v>
      </c>
      <c r="L4" s="12">
        <f t="shared" si="2"/>
        <v>0</v>
      </c>
      <c r="M4" s="12">
        <f t="shared" si="2"/>
        <v>0</v>
      </c>
      <c r="N4" s="12">
        <f t="shared" si="2"/>
        <v>0</v>
      </c>
      <c r="O4" s="12">
        <f t="shared" si="2"/>
        <v>0</v>
      </c>
      <c r="P4" s="12">
        <f t="shared" si="2"/>
        <v>0</v>
      </c>
      <c r="Q4" s="12">
        <f t="shared" si="2"/>
        <v>0</v>
      </c>
      <c r="R4" s="12">
        <f t="shared" si="2"/>
        <v>0</v>
      </c>
      <c r="S4" s="12">
        <f t="shared" si="2"/>
        <v>0</v>
      </c>
      <c r="T4" s="12">
        <f t="shared" si="2"/>
        <v>0</v>
      </c>
      <c r="U4" s="12">
        <f t="shared" si="2"/>
        <v>0</v>
      </c>
      <c r="V4" s="12">
        <f t="shared" si="2"/>
        <v>0</v>
      </c>
      <c r="W4" s="12">
        <f t="shared" si="2"/>
        <v>0</v>
      </c>
      <c r="X4" s="12">
        <f t="shared" si="2"/>
        <v>0</v>
      </c>
      <c r="Y4" s="12">
        <f t="shared" si="2"/>
        <v>0</v>
      </c>
      <c r="Z4" s="12">
        <f t="shared" si="2"/>
        <v>0</v>
      </c>
      <c r="AA4" s="13">
        <f t="shared" si="2"/>
        <v>0</v>
      </c>
    </row>
    <row r="5" ht="22.5" customHeight="1">
      <c r="A5" s="14" t="s">
        <v>30</v>
      </c>
      <c r="B5" s="15"/>
      <c r="C5" s="16">
        <f>IF(ISBLANK($A5), "", SUMIFS('Histórico26'!$C:$C, 'Histórico26'!$D:$D, $A5, 'Histórico26'!$A:$A, "&gt;=01/01/2026", 'Histórico26'!$A:$A, "&lt;=31/01/2026"))</f>
        <v>0</v>
      </c>
      <c r="D5" s="16"/>
      <c r="E5" s="16">
        <f>IF(ISBLANK($A5), "", SUMIFS('Histórico26'!$C:$C, 'Histórico26'!$D:$D, $A5, 'Histórico26'!$A:$A, "&gt;=01/02/2026", 'Histórico26'!$A:$A, "&lt;=28/02/2026"))</f>
        <v>0</v>
      </c>
      <c r="F5" s="16"/>
      <c r="G5" s="16">
        <f>IF(ISBLANK($A5), "", SUMIFS('Histórico26'!$C:$C, 'Histórico26'!$D:$D, $A5, 'Histórico26'!$A:$A, "&gt;=01/03/2026", 'Histórico26'!$A:$A, "&lt;=31/03/2026"))</f>
        <v>0</v>
      </c>
      <c r="H5" s="16"/>
      <c r="I5" s="16">
        <f>IF(ISBLANK($A5), "", SUMIFS('Histórico26'!$C:$C, 'Histórico26'!$D:$D, $A5, 'Histórico26'!$A:$A, "&gt;=01/04/2026", 'Histórico26'!$A:$A, "&lt;=30/04/2026"))</f>
        <v>0</v>
      </c>
      <c r="J5" s="16"/>
      <c r="K5" s="16">
        <f>IF(ISBLANK($A5), "", SUMIFS('Histórico26'!$C:$C, 'Histórico26'!$D:$D, $A5, 'Histórico26'!$A:$A, "&gt;=01/05/2026", 'Histórico26'!$A:$A, "&lt;=31/05/2026"))</f>
        <v>0</v>
      </c>
      <c r="L5" s="16"/>
      <c r="M5" s="16">
        <f>IF(ISBLANK($A5), "", SUMIFS('Histórico26'!$C:$C, 'Histórico26'!$D:$D, $A5, 'Histórico26'!$A:$A, "&gt;=01/06/2026", 'Histórico26'!$A:$A, "&lt;=30/06/2026"))</f>
        <v>0</v>
      </c>
      <c r="N5" s="16"/>
      <c r="O5" s="16">
        <f>IF(ISBLANK($A5), "", SUMIFS('Histórico26'!$C:$C, 'Histórico26'!$D:$D, $A5, 'Histórico26'!$A:$A, "&gt;=01/07/2026", 'Histórico26'!$A:$A, "&lt;=31/07/2026"))</f>
        <v>0</v>
      </c>
      <c r="P5" s="16"/>
      <c r="Q5" s="16">
        <f>IF(ISBLANK($A5), "", SUMIFS('Histórico26'!$C:$C, 'Histórico26'!$D:$D, $A5, 'Histórico26'!$A:$A, "&gt;=01/08/2025", 'Histórico26'!$A:$A, "&lt;=31/08/2025"))</f>
        <v>0</v>
      </c>
      <c r="R5" s="16"/>
      <c r="S5" s="16">
        <f>IF(ISBLANK($A5), "", SUMIFS('Histórico26'!$C:$C, 'Histórico26'!$D:$D, $A5, 'Histórico26'!$A:$A, "&gt;=01/09/2025", 'Histórico26'!$A:$A, "&lt;=31/09/2025"))</f>
        <v>0</v>
      </c>
      <c r="T5" s="16"/>
      <c r="U5" s="16">
        <f>IF(ISBLANK($A5), "", SUMIFS('Histórico26'!$C:$C, 'Histórico26'!$D:$D, $A5, 'Histórico26'!$A:$A, "&gt;=01/10/2025", 'Histórico26'!$A:$A, "&lt;=31/10/2025"))</f>
        <v>0</v>
      </c>
      <c r="V5" s="16"/>
      <c r="W5" s="16">
        <f>IF(ISBLANK($A5), "", SUMIFS('Histórico26'!$C:$C, 'Histórico26'!$D:$D, $A5, 'Histórico26'!$A:$A, "&gt;=01/11/2025", 'Histórico26'!$A:$A, "&lt;=30/11/2025"))</f>
        <v>0</v>
      </c>
      <c r="X5" s="16"/>
      <c r="Y5" s="16">
        <f>IF(ISBLANK($A5), "", SUMIFS('Histórico26'!$C:$C, 'Histórico26'!$D:$D, $A5, 'Histórico26'!$A:$A, "&gt;=01/12/2025", 'Histórico26'!$A:$A, "&lt;=31/12/2025"))</f>
        <v>0</v>
      </c>
      <c r="Z5" s="16">
        <f t="shared" ref="Z5:Z9" si="3">SUM(B5+D5+F5+H5+J5+L5+N5+P5+R5+T5+V5+X5)</f>
        <v>0</v>
      </c>
      <c r="AA5" s="17">
        <f t="shared" ref="AA5:AA9" si="4">SUM(C5,E5,G5,I5,K5,M5,O5,Q5,S5,U5,W5,Y5)</f>
        <v>0</v>
      </c>
    </row>
    <row r="6" ht="22.5" customHeight="1">
      <c r="A6" s="18" t="s">
        <v>31</v>
      </c>
      <c r="B6" s="19"/>
      <c r="C6" s="5">
        <f>IF(ISBLANK($A6), "", SUMIFS('Histórico26'!$C:$C, 'Histórico26'!$D:$D, $A6, 'Histórico26'!$A:$A, "&gt;=01/01/2026", 'Histórico26'!$A:$A, "&lt;=31/01/2026"))</f>
        <v>0</v>
      </c>
      <c r="D6" s="5"/>
      <c r="E6" s="5">
        <f>IF(ISBLANK($A6), "", SUMIFS('Histórico26'!$C:$C, 'Histórico26'!$D:$D, $A6, 'Histórico26'!$A:$A, "&gt;=01/02/2026", 'Histórico26'!$A:$A, "&lt;=28/02/2026"))</f>
        <v>0</v>
      </c>
      <c r="F6" s="5"/>
      <c r="G6" s="5">
        <f>IF(ISBLANK($A6), "", SUMIFS('Histórico26'!$C:$C, 'Histórico26'!$D:$D, $A6, 'Histórico26'!$A:$A, "&gt;=01/03/2026", 'Histórico26'!$A:$A, "&lt;=31/03/2026"))</f>
        <v>0</v>
      </c>
      <c r="H6" s="5"/>
      <c r="I6" s="5">
        <f>IF(ISBLANK($A6), "", SUMIFS('Histórico26'!$C:$C, 'Histórico26'!$D:$D, $A6, 'Histórico26'!$A:$A, "&gt;=01/04/2026", 'Histórico26'!$A:$A, "&lt;=30/04/2026"))</f>
        <v>0</v>
      </c>
      <c r="J6" s="5"/>
      <c r="K6" s="5">
        <f>IF(ISBLANK($A6), "", SUMIFS('Histórico26'!$C:$C, 'Histórico26'!$D:$D, $A6, 'Histórico26'!$A:$A, "&gt;=01/05/2026", 'Histórico26'!$A:$A, "&lt;=31/05/2026"))</f>
        <v>0</v>
      </c>
      <c r="L6" s="5"/>
      <c r="M6" s="5">
        <f>IF(ISBLANK($A6), "", SUMIFS('Histórico26'!$C:$C, 'Histórico26'!$D:$D, $A6, 'Histórico26'!$A:$A, "&gt;=01/06/2026", 'Histórico26'!$A:$A, "&lt;=30/06/2026"))</f>
        <v>0</v>
      </c>
      <c r="N6" s="5"/>
      <c r="O6" s="5">
        <f>IF(ISBLANK($A6), "", SUMIFS('Histórico26'!$C:$C, 'Histórico26'!$D:$D, $A6, 'Histórico26'!$A:$A, "&gt;=01/07/2026", 'Histórico26'!$A:$A, "&lt;=31/07/2026"))</f>
        <v>0</v>
      </c>
      <c r="P6" s="5"/>
      <c r="Q6" s="5">
        <f>IF(ISBLANK($A6), "", SUMIFS('Histórico26'!$C:$C, 'Histórico26'!$D:$D, $A6, 'Histórico26'!$A:$A, "&gt;=01/08/2025", 'Histórico26'!$A:$A, "&lt;=31/08/2025"))</f>
        <v>0</v>
      </c>
      <c r="R6" s="5"/>
      <c r="S6" s="5">
        <f>IF(ISBLANK($A6), "", SUMIFS('Histórico26'!$C:$C, 'Histórico26'!$D:$D, $A6, 'Histórico26'!$A:$A, "&gt;=01/09/2025", 'Histórico26'!$A:$A, "&lt;=31/09/2025"))</f>
        <v>0</v>
      </c>
      <c r="T6" s="5"/>
      <c r="U6" s="5">
        <f>IF(ISBLANK($A6), "", SUMIFS('Histórico26'!$C:$C, 'Histórico26'!$D:$D, $A6, 'Histórico26'!$A:$A, "&gt;=01/10/2025", 'Histórico26'!$A:$A, "&lt;=31/10/2025"))</f>
        <v>0</v>
      </c>
      <c r="V6" s="5"/>
      <c r="W6" s="5">
        <f>IF(ISBLANK($A6), "", SUMIFS('Histórico26'!$C:$C, 'Histórico26'!$D:$D, $A6, 'Histórico26'!$A:$A, "&gt;=01/11/2025", 'Histórico26'!$A:$A, "&lt;=30/11/2025"))</f>
        <v>0</v>
      </c>
      <c r="X6" s="5"/>
      <c r="Y6" s="5">
        <f>IF(ISBLANK($A6), "", SUMIFS('Histórico26'!$C:$C, 'Histórico26'!$D:$D, $A6, 'Histórico26'!$A:$A, "&gt;=01/12/2025", 'Histórico26'!$A:$A, "&lt;=31/12/2025"))</f>
        <v>0</v>
      </c>
      <c r="Z6" s="20">
        <f t="shared" si="3"/>
        <v>0</v>
      </c>
      <c r="AA6" s="6">
        <f t="shared" si="4"/>
        <v>0</v>
      </c>
    </row>
    <row r="7" ht="22.5" customHeight="1">
      <c r="A7" s="14" t="s">
        <v>32</v>
      </c>
      <c r="B7" s="15"/>
      <c r="C7" s="16">
        <f>IF(ISBLANK($A7), "", SUMIFS('Histórico26'!$C:$C, 'Histórico26'!$D:$D, $A7, 'Histórico26'!$A:$A, "&gt;=01/01/2026", 'Histórico26'!$A:$A, "&lt;=31/01/2026"))</f>
        <v>0</v>
      </c>
      <c r="D7" s="16"/>
      <c r="E7" s="16">
        <f>IF(ISBLANK($A7), "", SUMIFS('Histórico26'!$C:$C, 'Histórico26'!$D:$D, $A7, 'Histórico26'!$A:$A, "&gt;=01/02/2026", 'Histórico26'!$A:$A, "&lt;=28/02/2026"))</f>
        <v>0</v>
      </c>
      <c r="F7" s="16"/>
      <c r="G7" s="16">
        <f>IF(ISBLANK($A7), "", SUMIFS('Histórico26'!$C:$C, 'Histórico26'!$D:$D, $A7, 'Histórico26'!$A:$A, "&gt;=01/03/2026", 'Histórico26'!$A:$A, "&lt;=31/03/2026"))</f>
        <v>0</v>
      </c>
      <c r="H7" s="16"/>
      <c r="I7" s="16">
        <f>IF(ISBLANK($A7), "", SUMIFS('Histórico26'!$C:$C, 'Histórico26'!$D:$D, $A7, 'Histórico26'!$A:$A, "&gt;=01/04/2026", 'Histórico26'!$A:$A, "&lt;=30/04/2026"))</f>
        <v>0</v>
      </c>
      <c r="J7" s="16"/>
      <c r="K7" s="16">
        <f>IF(ISBLANK($A7), "", SUMIFS('Histórico26'!$C:$C, 'Histórico26'!$D:$D, $A7, 'Histórico26'!$A:$A, "&gt;=01/05/2026", 'Histórico26'!$A:$A, "&lt;=31/05/2026"))</f>
        <v>0</v>
      </c>
      <c r="L7" s="16"/>
      <c r="M7" s="16">
        <f>IF(ISBLANK($A7), "", SUMIFS('Histórico26'!$C:$C, 'Histórico26'!$D:$D, $A7, 'Histórico26'!$A:$A, "&gt;=01/06/2026", 'Histórico26'!$A:$A, "&lt;=30/06/2026"))</f>
        <v>0</v>
      </c>
      <c r="N7" s="16"/>
      <c r="O7" s="16">
        <f>IF(ISBLANK($A7), "", SUMIFS('Histórico26'!$C:$C, 'Histórico26'!$D:$D, $A7, 'Histórico26'!$A:$A, "&gt;=01/07/2026", 'Histórico26'!$A:$A, "&lt;=31/07/2026"))</f>
        <v>0</v>
      </c>
      <c r="P7" s="16"/>
      <c r="Q7" s="16">
        <f>IF(ISBLANK($A7), "", SUMIFS('Histórico26'!$C:$C, 'Histórico26'!$D:$D, $A7, 'Histórico26'!$A:$A, "&gt;=01/08/2025", 'Histórico26'!$A:$A, "&lt;=31/08/2025"))</f>
        <v>0</v>
      </c>
      <c r="R7" s="16"/>
      <c r="S7" s="16">
        <f>IF(ISBLANK($A7), "", SUMIFS('Histórico26'!$C:$C, 'Histórico26'!$D:$D, $A7, 'Histórico26'!$A:$A, "&gt;=01/09/2025", 'Histórico26'!$A:$A, "&lt;=31/09/2025"))</f>
        <v>0</v>
      </c>
      <c r="T7" s="16"/>
      <c r="U7" s="16">
        <f>IF(ISBLANK($A7), "", SUMIFS('Histórico26'!$C:$C, 'Histórico26'!$D:$D, $A7, 'Histórico26'!$A:$A, "&gt;=01/10/2025", 'Histórico26'!$A:$A, "&lt;=31/10/2025"))</f>
        <v>0</v>
      </c>
      <c r="V7" s="16"/>
      <c r="W7" s="16">
        <f>IF(ISBLANK($A7), "", SUMIFS('Histórico26'!$C:$C, 'Histórico26'!$D:$D, $A7, 'Histórico26'!$A:$A, "&gt;=01/11/2025", 'Histórico26'!$A:$A, "&lt;=30/11/2025"))</f>
        <v>0</v>
      </c>
      <c r="X7" s="16"/>
      <c r="Y7" s="16">
        <f>IF(ISBLANK($A7), "", SUMIFS('Histórico26'!$C:$C, 'Histórico26'!$D:$D, $A7, 'Histórico26'!$A:$A, "&gt;=01/12/2025", 'Histórico26'!$A:$A, "&lt;=31/12/2025"))</f>
        <v>0</v>
      </c>
      <c r="Z7" s="16">
        <f t="shared" si="3"/>
        <v>0</v>
      </c>
      <c r="AA7" s="17">
        <f t="shared" si="4"/>
        <v>0</v>
      </c>
    </row>
    <row r="8" ht="22.5" customHeight="1">
      <c r="A8" s="18" t="s">
        <v>33</v>
      </c>
      <c r="B8" s="19"/>
      <c r="C8" s="5">
        <f>IF(ISBLANK($A8), "", SUMIFS('Histórico26'!$C:$C, 'Histórico26'!$D:$D, $A8, 'Histórico26'!$A:$A, "&gt;=01/01/2026", 'Histórico26'!$A:$A, "&lt;=31/01/2026"))</f>
        <v>0</v>
      </c>
      <c r="D8" s="5"/>
      <c r="E8" s="5">
        <f>IF(ISBLANK($A8), "", SUMIFS('Histórico26'!$C:$C, 'Histórico26'!$D:$D, $A8, 'Histórico26'!$A:$A, "&gt;=01/02/2026", 'Histórico26'!$A:$A, "&lt;=28/02/2026"))</f>
        <v>0</v>
      </c>
      <c r="F8" s="5"/>
      <c r="G8" s="5">
        <f>IF(ISBLANK($A8), "", SUMIFS('Histórico26'!$C:$C, 'Histórico26'!$D:$D, $A8, 'Histórico26'!$A:$A, "&gt;=01/03/2026", 'Histórico26'!$A:$A, "&lt;=31/03/2026"))</f>
        <v>0</v>
      </c>
      <c r="H8" s="5"/>
      <c r="I8" s="5">
        <f>IF(ISBLANK($A8), "", SUMIFS('Histórico26'!$C:$C, 'Histórico26'!$D:$D, $A8, 'Histórico26'!$A:$A, "&gt;=01/04/2026", 'Histórico26'!$A:$A, "&lt;=30/04/2026"))</f>
        <v>0</v>
      </c>
      <c r="J8" s="5"/>
      <c r="K8" s="5">
        <f>IF(ISBLANK($A8), "", SUMIFS('Histórico26'!$C:$C, 'Histórico26'!$D:$D, $A8, 'Histórico26'!$A:$A, "&gt;=01/05/2026", 'Histórico26'!$A:$A, "&lt;=31/05/2026"))</f>
        <v>0</v>
      </c>
      <c r="L8" s="5"/>
      <c r="M8" s="5">
        <f>IF(ISBLANK($A8), "", SUMIFS('Histórico26'!$C:$C, 'Histórico26'!$D:$D, $A8, 'Histórico26'!$A:$A, "&gt;=01/06/2026", 'Histórico26'!$A:$A, "&lt;=30/06/2026"))</f>
        <v>0</v>
      </c>
      <c r="N8" s="5"/>
      <c r="O8" s="5">
        <f>IF(ISBLANK($A8), "", SUMIFS('Histórico26'!$C:$C, 'Histórico26'!$D:$D, $A8, 'Histórico26'!$A:$A, "&gt;=01/07/2026", 'Histórico26'!$A:$A, "&lt;=31/07/2026"))</f>
        <v>0</v>
      </c>
      <c r="P8" s="5"/>
      <c r="Q8" s="5">
        <f>IF(ISBLANK($A8), "", SUMIFS('Histórico26'!$C:$C, 'Histórico26'!$D:$D, $A8, 'Histórico26'!$A:$A, "&gt;=01/08/2025", 'Histórico26'!$A:$A, "&lt;=31/08/2025"))</f>
        <v>0</v>
      </c>
      <c r="R8" s="5"/>
      <c r="S8" s="5">
        <f>IF(ISBLANK($A8), "", SUMIFS('Histórico26'!$C:$C, 'Histórico26'!$D:$D, $A8, 'Histórico26'!$A:$A, "&gt;=01/09/2025", 'Histórico26'!$A:$A, "&lt;=31/09/2025"))</f>
        <v>0</v>
      </c>
      <c r="T8" s="5"/>
      <c r="U8" s="5">
        <f>IF(ISBLANK($A8), "", SUMIFS('Histórico26'!$C:$C, 'Histórico26'!$D:$D, $A8, 'Histórico26'!$A:$A, "&gt;=01/10/2025", 'Histórico26'!$A:$A, "&lt;=31/10/2025"))</f>
        <v>0</v>
      </c>
      <c r="V8" s="5"/>
      <c r="W8" s="5">
        <f>IF(ISBLANK($A8), "", SUMIFS('Histórico26'!$C:$C, 'Histórico26'!$D:$D, $A8, 'Histórico26'!$A:$A, "&gt;=01/11/2025", 'Histórico26'!$A:$A, "&lt;=30/11/2025"))</f>
        <v>0</v>
      </c>
      <c r="X8" s="5"/>
      <c r="Y8" s="5">
        <f>IF(ISBLANK($A8), "", SUMIFS('Histórico26'!$C:$C, 'Histórico26'!$D:$D, $A8, 'Histórico26'!$A:$A, "&gt;=01/12/2025", 'Histórico26'!$A:$A, "&lt;=31/12/2025"))</f>
        <v>0</v>
      </c>
      <c r="Z8" s="20">
        <f t="shared" si="3"/>
        <v>0</v>
      </c>
      <c r="AA8" s="6">
        <f t="shared" si="4"/>
        <v>0</v>
      </c>
    </row>
    <row r="9" ht="22.5" customHeight="1">
      <c r="A9" s="14" t="s">
        <v>34</v>
      </c>
      <c r="B9" s="15"/>
      <c r="C9" s="16">
        <f>IF(ISBLANK($A9), "", SUMIFS('Histórico26'!$C:$C, 'Histórico26'!$D:$D, $A9, 'Histórico26'!$A:$A, "&gt;=01/01/2026", 'Histórico26'!$A:$A, "&lt;=31/01/2026"))</f>
        <v>0</v>
      </c>
      <c r="D9" s="16"/>
      <c r="E9" s="16">
        <f>IF(ISBLANK($A9), "", SUMIFS('Histórico26'!$C:$C, 'Histórico26'!$D:$D, $A9, 'Histórico26'!$A:$A, "&gt;=01/02/2026", 'Histórico26'!$A:$A, "&lt;=28/02/2026"))</f>
        <v>0</v>
      </c>
      <c r="F9" s="16"/>
      <c r="G9" s="16">
        <f>IF(ISBLANK($A9), "", SUMIFS('Histórico26'!$C:$C, 'Histórico26'!$D:$D, $A9, 'Histórico26'!$A:$A, "&gt;=01/03/2026", 'Histórico26'!$A:$A, "&lt;=31/03/2026"))</f>
        <v>0</v>
      </c>
      <c r="H9" s="16"/>
      <c r="I9" s="16">
        <f>IF(ISBLANK($A9), "", SUMIFS('Histórico26'!$C:$C, 'Histórico26'!$D:$D, $A9, 'Histórico26'!$A:$A, "&gt;=01/04/2026", 'Histórico26'!$A:$A, "&lt;=30/04/2026"))</f>
        <v>0</v>
      </c>
      <c r="J9" s="16"/>
      <c r="K9" s="16">
        <f>IF(ISBLANK($A9), "", SUMIFS('Histórico26'!$C:$C, 'Histórico26'!$D:$D, $A9, 'Histórico26'!$A:$A, "&gt;=01/05/2026", 'Histórico26'!$A:$A, "&lt;=31/05/2026"))</f>
        <v>0</v>
      </c>
      <c r="L9" s="16"/>
      <c r="M9" s="16">
        <f>IF(ISBLANK($A9), "", SUMIFS('Histórico26'!$C:$C, 'Histórico26'!$D:$D, $A9, 'Histórico26'!$A:$A, "&gt;=01/06/2026", 'Histórico26'!$A:$A, "&lt;=30/06/2026"))</f>
        <v>0</v>
      </c>
      <c r="N9" s="16"/>
      <c r="O9" s="16">
        <f>IF(ISBLANK($A9), "", SUMIFS('Histórico26'!$C:$C, 'Histórico26'!$D:$D, $A9, 'Histórico26'!$A:$A, "&gt;=01/07/2026", 'Histórico26'!$A:$A, "&lt;=31/07/2026"))</f>
        <v>0</v>
      </c>
      <c r="P9" s="16"/>
      <c r="Q9" s="16">
        <f>IF(ISBLANK($A9), "", SUMIFS('Histórico26'!$C:$C, 'Histórico26'!$D:$D, $A9, 'Histórico26'!$A:$A, "&gt;=01/08/2025", 'Histórico26'!$A:$A, "&lt;=31/08/2025"))</f>
        <v>0</v>
      </c>
      <c r="R9" s="16"/>
      <c r="S9" s="16">
        <f>IF(ISBLANK($A9), "", SUMIFS('Histórico26'!$C:$C, 'Histórico26'!$D:$D, $A9, 'Histórico26'!$A:$A, "&gt;=01/09/2025", 'Histórico26'!$A:$A, "&lt;=31/09/2025"))</f>
        <v>0</v>
      </c>
      <c r="T9" s="16"/>
      <c r="U9" s="16">
        <f>IF(ISBLANK($A9), "", SUMIFS('Histórico26'!$C:$C, 'Histórico26'!$D:$D, $A9, 'Histórico26'!$A:$A, "&gt;=01/10/2025", 'Histórico26'!$A:$A, "&lt;=31/10/2025"))</f>
        <v>0</v>
      </c>
      <c r="V9" s="16"/>
      <c r="W9" s="16">
        <f>IF(ISBLANK($A9), "", SUMIFS('Histórico26'!$C:$C, 'Histórico26'!$D:$D, $A9, 'Histórico26'!$A:$A, "&gt;=01/11/2025", 'Histórico26'!$A:$A, "&lt;=30/11/2025"))</f>
        <v>0</v>
      </c>
      <c r="X9" s="16"/>
      <c r="Y9" s="16">
        <f>IF(ISBLANK($A9), "", SUMIFS('Histórico26'!$C:$C, 'Histórico26'!$D:$D, $A9, 'Histórico26'!$A:$A, "&gt;=01/12/2025", 'Histórico26'!$A:$A, "&lt;=31/12/2025"))</f>
        <v>0</v>
      </c>
      <c r="Z9" s="16">
        <f t="shared" si="3"/>
        <v>0</v>
      </c>
      <c r="AA9" s="17">
        <f t="shared" si="4"/>
        <v>0</v>
      </c>
    </row>
    <row r="10" ht="22.5" customHeight="1">
      <c r="A10" s="21" t="s">
        <v>35</v>
      </c>
      <c r="B10" s="22">
        <f t="shared" ref="B10:AA10" si="5">B4-B9</f>
        <v>0</v>
      </c>
      <c r="C10" s="22">
        <f t="shared" si="5"/>
        <v>0</v>
      </c>
      <c r="D10" s="22">
        <f t="shared" si="5"/>
        <v>0</v>
      </c>
      <c r="E10" s="22">
        <f t="shared" si="5"/>
        <v>0</v>
      </c>
      <c r="F10" s="22">
        <f t="shared" si="5"/>
        <v>0</v>
      </c>
      <c r="G10" s="22">
        <f t="shared" si="5"/>
        <v>0</v>
      </c>
      <c r="H10" s="22">
        <f t="shared" si="5"/>
        <v>0</v>
      </c>
      <c r="I10" s="22">
        <f t="shared" si="5"/>
        <v>0</v>
      </c>
      <c r="J10" s="22">
        <f t="shared" si="5"/>
        <v>0</v>
      </c>
      <c r="K10" s="22">
        <f t="shared" si="5"/>
        <v>0</v>
      </c>
      <c r="L10" s="23">
        <f t="shared" si="5"/>
        <v>0</v>
      </c>
      <c r="M10" s="22">
        <f t="shared" si="5"/>
        <v>0</v>
      </c>
      <c r="N10" s="23">
        <f t="shared" si="5"/>
        <v>0</v>
      </c>
      <c r="O10" s="22">
        <f t="shared" si="5"/>
        <v>0</v>
      </c>
      <c r="P10" s="23">
        <f t="shared" si="5"/>
        <v>0</v>
      </c>
      <c r="Q10" s="22">
        <f t="shared" si="5"/>
        <v>0</v>
      </c>
      <c r="R10" s="23">
        <f t="shared" si="5"/>
        <v>0</v>
      </c>
      <c r="S10" s="22">
        <f t="shared" si="5"/>
        <v>0</v>
      </c>
      <c r="T10" s="23">
        <f t="shared" si="5"/>
        <v>0</v>
      </c>
      <c r="U10" s="22">
        <f t="shared" si="5"/>
        <v>0</v>
      </c>
      <c r="V10" s="23">
        <f t="shared" si="5"/>
        <v>0</v>
      </c>
      <c r="W10" s="22">
        <f t="shared" si="5"/>
        <v>0</v>
      </c>
      <c r="X10" s="23">
        <f t="shared" si="5"/>
        <v>0</v>
      </c>
      <c r="Y10" s="22">
        <f t="shared" si="5"/>
        <v>0</v>
      </c>
      <c r="Z10" s="23">
        <f t="shared" si="5"/>
        <v>0</v>
      </c>
      <c r="AA10" s="24">
        <f t="shared" si="5"/>
        <v>0</v>
      </c>
    </row>
    <row r="11" ht="22.5" customHeight="1">
      <c r="A11" s="25" t="s">
        <v>36</v>
      </c>
      <c r="B11" s="26">
        <f t="shared" ref="B11:AA11" si="6">SUM(B12:B18)</f>
        <v>0</v>
      </c>
      <c r="C11" s="26">
        <f t="shared" si="6"/>
        <v>0</v>
      </c>
      <c r="D11" s="26">
        <f t="shared" si="6"/>
        <v>0</v>
      </c>
      <c r="E11" s="26">
        <f t="shared" si="6"/>
        <v>0</v>
      </c>
      <c r="F11" s="26">
        <f t="shared" si="6"/>
        <v>120</v>
      </c>
      <c r="G11" s="26">
        <f t="shared" si="6"/>
        <v>0</v>
      </c>
      <c r="H11" s="26">
        <f t="shared" si="6"/>
        <v>120</v>
      </c>
      <c r="I11" s="26">
        <f t="shared" si="6"/>
        <v>0</v>
      </c>
      <c r="J11" s="26">
        <f t="shared" si="6"/>
        <v>0</v>
      </c>
      <c r="K11" s="26">
        <f t="shared" si="6"/>
        <v>0</v>
      </c>
      <c r="L11" s="26">
        <f t="shared" si="6"/>
        <v>0</v>
      </c>
      <c r="M11" s="26">
        <f t="shared" si="6"/>
        <v>0</v>
      </c>
      <c r="N11" s="26">
        <f t="shared" si="6"/>
        <v>0</v>
      </c>
      <c r="O11" s="26">
        <f t="shared" si="6"/>
        <v>0</v>
      </c>
      <c r="P11" s="26">
        <f t="shared" si="6"/>
        <v>0</v>
      </c>
      <c r="Q11" s="26">
        <f t="shared" si="6"/>
        <v>0</v>
      </c>
      <c r="R11" s="26">
        <f t="shared" si="6"/>
        <v>0</v>
      </c>
      <c r="S11" s="26">
        <f t="shared" si="6"/>
        <v>0</v>
      </c>
      <c r="T11" s="26">
        <f t="shared" si="6"/>
        <v>0</v>
      </c>
      <c r="U11" s="26">
        <f t="shared" si="6"/>
        <v>0</v>
      </c>
      <c r="V11" s="26">
        <f t="shared" si="6"/>
        <v>0</v>
      </c>
      <c r="W11" s="26">
        <f t="shared" si="6"/>
        <v>0</v>
      </c>
      <c r="X11" s="26">
        <f t="shared" si="6"/>
        <v>0</v>
      </c>
      <c r="Y11" s="26">
        <f t="shared" si="6"/>
        <v>0</v>
      </c>
      <c r="Z11" s="26">
        <f t="shared" si="6"/>
        <v>240</v>
      </c>
      <c r="AA11" s="27">
        <f t="shared" si="6"/>
        <v>0</v>
      </c>
    </row>
    <row r="12" ht="22.5" customHeight="1">
      <c r="A12" s="18" t="s">
        <v>37</v>
      </c>
      <c r="B12" s="19"/>
      <c r="C12" s="5">
        <f>IF(ISBLANK($A12), "", SUMIFS('Histórico26'!$C:$C, 'Histórico26'!$D:$D, $A12, 'Histórico26'!$A:$A, "&gt;=01/01/2026", 'Histórico26'!$A:$A, "&lt;=31/01/2026"))</f>
        <v>0</v>
      </c>
      <c r="D12" s="5"/>
      <c r="E12" s="5">
        <f>IF(ISBLANK($A12), "", SUMIFS('Histórico26'!$C:$C, 'Histórico26'!$D:$D, $A12, 'Histórico26'!$A:$A, "&gt;=01/02/2026", 'Histórico26'!$A:$A, "&lt;=28/02/2026"))</f>
        <v>0</v>
      </c>
      <c r="F12" s="5"/>
      <c r="G12" s="5">
        <f>IF(ISBLANK($A12), "", SUMIFS('Histórico26'!$C:$C, 'Histórico26'!$D:$D, $A12, 'Histórico26'!$A:$A, "&gt;=01/03/2026", 'Histórico26'!$A:$A, "&lt;=31/03/2026"))</f>
        <v>0</v>
      </c>
      <c r="H12" s="5"/>
      <c r="I12" s="5">
        <f>IF(ISBLANK($A12), "", SUMIFS('Histórico26'!$C:$C, 'Histórico26'!$D:$D, $A12, 'Histórico26'!$A:$A, "&gt;=01/04/2026", 'Histórico26'!$A:$A, "&lt;=30/04/2026"))</f>
        <v>0</v>
      </c>
      <c r="J12" s="5"/>
      <c r="K12" s="5">
        <f>IF(ISBLANK($A12), "", SUMIFS('Histórico26'!$C:$C, 'Histórico26'!$D:$D, $A12, 'Histórico26'!$A:$A, "&gt;=01/05/2026", 'Histórico26'!$A:$A, "&lt;=31/05/2026"))</f>
        <v>0</v>
      </c>
      <c r="L12" s="5"/>
      <c r="M12" s="5">
        <f>IF(ISBLANK($A12), "", SUMIFS('Histórico26'!$C:$C, 'Histórico26'!$D:$D, $A12, 'Histórico26'!$A:$A, "&gt;=01/06/2026", 'Histórico26'!$A:$A, "&lt;=30/06/2026"))</f>
        <v>0</v>
      </c>
      <c r="N12" s="5"/>
      <c r="O12" s="5">
        <f>IF(ISBLANK($A12), "", SUMIFS('Histórico26'!$C:$C, 'Histórico26'!$D:$D, $A12, 'Histórico26'!$A:$A, "&gt;=01/07/2026", 'Histórico26'!$A:$A, "&lt;=31/07/2026"))</f>
        <v>0</v>
      </c>
      <c r="P12" s="5"/>
      <c r="Q12" s="5">
        <f>IF(ISBLANK($A12), "", SUMIFS('Histórico26'!$C:$C, 'Histórico26'!$D:$D, $A12, 'Histórico26'!$A:$A, "&gt;=01/08/2025", 'Histórico26'!$A:$A, "&lt;=31/08/2025"))</f>
        <v>0</v>
      </c>
      <c r="R12" s="5"/>
      <c r="S12" s="5">
        <f>IF(ISBLANK($A12), "", SUMIFS('Histórico26'!$C:$C, 'Histórico26'!$D:$D, $A12, 'Histórico26'!$A:$A, "&gt;=01/09/2025", 'Histórico26'!$A:$A, "&lt;=31/09/2025"))</f>
        <v>0</v>
      </c>
      <c r="T12" s="5"/>
      <c r="U12" s="5">
        <f>IF(ISBLANK($A12), "", SUMIFS('Histórico26'!$C:$C, 'Histórico26'!$D:$D, $A12, 'Histórico26'!$A:$A, "&gt;=01/10/2025", 'Histórico26'!$A:$A, "&lt;=31/10/2025"))</f>
        <v>0</v>
      </c>
      <c r="V12" s="5"/>
      <c r="W12" s="5">
        <f>IF(ISBLANK($A12), "", SUMIFS('Histórico26'!$C:$C, 'Histórico26'!$D:$D, $A12, 'Histórico26'!$A:$A, "&gt;=01/11/2025", 'Histórico26'!$A:$A, "&lt;=30/11/2025"))</f>
        <v>0</v>
      </c>
      <c r="X12" s="5"/>
      <c r="Y12" s="5">
        <f>IF(ISBLANK($A12), "", SUMIFS('Histórico26'!$C:$C, 'Histórico26'!$D:$D, $A12, 'Histórico26'!$A:$A, "&gt;=01/12/2025", 'Histórico26'!$A:$A, "&lt;=31/12/2025"))</f>
        <v>0</v>
      </c>
      <c r="Z12" s="20">
        <f t="shared" ref="Z12:Z18" si="7">SUM(B12+D12+F12+H12+J12+L12+N12+P12+R12+T12+V12+X12)</f>
        <v>0</v>
      </c>
      <c r="AA12" s="6">
        <f t="shared" ref="AA12:AA18" si="8">SUM(C12,E12,G12,I12,K12,M12,O12,Q12,S12,U12,W12,Y12)</f>
        <v>0</v>
      </c>
    </row>
    <row r="13" ht="22.5" customHeight="1">
      <c r="A13" s="14" t="s">
        <v>38</v>
      </c>
      <c r="B13" s="15"/>
      <c r="C13" s="16">
        <f>IF(ISBLANK($A13), "", SUMIFS('Histórico26'!$C:$C, 'Histórico26'!$D:$D, $A13, 'Histórico26'!$A:$A, "&gt;=01/01/2026", 'Histórico26'!$A:$A, "&lt;=31/01/2026"))</f>
        <v>0</v>
      </c>
      <c r="D13" s="16"/>
      <c r="E13" s="16">
        <f>IF(ISBLANK($A13), "", SUMIFS('Histórico26'!$C:$C, 'Histórico26'!$D:$D, $A13, 'Histórico26'!$A:$A, "&gt;=01/02/2026", 'Histórico26'!$A:$A, "&lt;=28/02/2026"))</f>
        <v>0</v>
      </c>
      <c r="F13" s="16"/>
      <c r="G13" s="16">
        <f>IF(ISBLANK($A13), "", SUMIFS('Histórico26'!$C:$C, 'Histórico26'!$D:$D, $A13, 'Histórico26'!$A:$A, "&gt;=01/03/2026", 'Histórico26'!$A:$A, "&lt;=31/03/2026"))</f>
        <v>0</v>
      </c>
      <c r="H13" s="16"/>
      <c r="I13" s="16">
        <f>IF(ISBLANK($A13), "", SUMIFS('Histórico26'!$C:$C, 'Histórico26'!$D:$D, $A13, 'Histórico26'!$A:$A, "&gt;=01/04/2026", 'Histórico26'!$A:$A, "&lt;=30/04/2026"))</f>
        <v>0</v>
      </c>
      <c r="J13" s="16"/>
      <c r="K13" s="16">
        <f>IF(ISBLANK($A13), "", SUMIFS('Histórico26'!$C:$C, 'Histórico26'!$D:$D, $A13, 'Histórico26'!$A:$A, "&gt;=01/05/2026", 'Histórico26'!$A:$A, "&lt;=31/05/2026"))</f>
        <v>0</v>
      </c>
      <c r="L13" s="16"/>
      <c r="M13" s="16">
        <f>IF(ISBLANK($A13), "", SUMIFS('Histórico26'!$C:$C, 'Histórico26'!$D:$D, $A13, 'Histórico26'!$A:$A, "&gt;=01/06/2026", 'Histórico26'!$A:$A, "&lt;=30/06/2026"))</f>
        <v>0</v>
      </c>
      <c r="N13" s="16"/>
      <c r="O13" s="16">
        <f>IF(ISBLANK($A13), "", SUMIFS('Histórico26'!$C:$C, 'Histórico26'!$D:$D, $A13, 'Histórico26'!$A:$A, "&gt;=01/07/2026", 'Histórico26'!$A:$A, "&lt;=31/07/2026"))</f>
        <v>0</v>
      </c>
      <c r="P13" s="16"/>
      <c r="Q13" s="16">
        <f>IF(ISBLANK($A13), "", SUMIFS('Histórico26'!$C:$C, 'Histórico26'!$D:$D, $A13, 'Histórico26'!$A:$A, "&gt;=01/08/2025", 'Histórico26'!$A:$A, "&lt;=31/08/2025"))</f>
        <v>0</v>
      </c>
      <c r="R13" s="16"/>
      <c r="S13" s="16">
        <f>IF(ISBLANK($A13), "", SUMIFS('Histórico26'!$C:$C, 'Histórico26'!$D:$D, $A13, 'Histórico26'!$A:$A, "&gt;=01/09/2025", 'Histórico26'!$A:$A, "&lt;=31/09/2025"))</f>
        <v>0</v>
      </c>
      <c r="T13" s="16"/>
      <c r="U13" s="16">
        <f>IF(ISBLANK($A13), "", SUMIFS('Histórico26'!$C:$C, 'Histórico26'!$D:$D, $A13, 'Histórico26'!$A:$A, "&gt;=01/10/2025", 'Histórico26'!$A:$A, "&lt;=31/10/2025"))</f>
        <v>0</v>
      </c>
      <c r="V13" s="16"/>
      <c r="W13" s="16">
        <f>IF(ISBLANK($A13), "", SUMIFS('Histórico26'!$C:$C, 'Histórico26'!$D:$D, $A13, 'Histórico26'!$A:$A, "&gt;=01/11/2025", 'Histórico26'!$A:$A, "&lt;=30/11/2025"))</f>
        <v>0</v>
      </c>
      <c r="X13" s="16"/>
      <c r="Y13" s="16">
        <f>IF(ISBLANK($A13), "", SUMIFS('Histórico26'!$C:$C, 'Histórico26'!$D:$D, $A13, 'Histórico26'!$A:$A, "&gt;=01/12/2025", 'Histórico26'!$A:$A, "&lt;=31/12/2025"))</f>
        <v>0</v>
      </c>
      <c r="Z13" s="16">
        <f t="shared" si="7"/>
        <v>0</v>
      </c>
      <c r="AA13" s="17">
        <f t="shared" si="8"/>
        <v>0</v>
      </c>
    </row>
    <row r="14" ht="22.5" customHeight="1">
      <c r="A14" s="18" t="s">
        <v>39</v>
      </c>
      <c r="B14" s="19"/>
      <c r="C14" s="5">
        <f>IF(ISBLANK($A14), "", SUMIFS('Histórico26'!$C:$C, 'Histórico26'!$D:$D, $A14, 'Histórico26'!$A:$A, "&gt;=01/01/2026", 'Histórico26'!$A:$A, "&lt;=31/01/2026"))</f>
        <v>0</v>
      </c>
      <c r="D14" s="5"/>
      <c r="E14" s="5">
        <f>IF(ISBLANK($A14), "", SUMIFS('Histórico26'!$C:$C, 'Histórico26'!$D:$D, $A14, 'Histórico26'!$A:$A, "&gt;=01/02/2026", 'Histórico26'!$A:$A, "&lt;=28/02/2026"))</f>
        <v>0</v>
      </c>
      <c r="F14" s="5"/>
      <c r="G14" s="5">
        <f>IF(ISBLANK($A14), "", SUMIFS('Histórico26'!$C:$C, 'Histórico26'!$D:$D, $A14, 'Histórico26'!$A:$A, "&gt;=01/03/2026", 'Histórico26'!$A:$A, "&lt;=31/03/2026"))</f>
        <v>0</v>
      </c>
      <c r="H14" s="5"/>
      <c r="I14" s="5">
        <f>IF(ISBLANK($A14), "", SUMIFS('Histórico26'!$C:$C, 'Histórico26'!$D:$D, $A14, 'Histórico26'!$A:$A, "&gt;=01/04/2026", 'Histórico26'!$A:$A, "&lt;=30/04/2026"))</f>
        <v>0</v>
      </c>
      <c r="J14" s="5"/>
      <c r="K14" s="5">
        <f>IF(ISBLANK($A14), "", SUMIFS('Histórico26'!$C:$C, 'Histórico26'!$D:$D, $A14, 'Histórico26'!$A:$A, "&gt;=01/05/2026", 'Histórico26'!$A:$A, "&lt;=31/05/2026"))</f>
        <v>0</v>
      </c>
      <c r="L14" s="5"/>
      <c r="M14" s="5">
        <f>IF(ISBLANK($A14), "", SUMIFS('Histórico26'!$C:$C, 'Histórico26'!$D:$D, $A14, 'Histórico26'!$A:$A, "&gt;=01/06/2026", 'Histórico26'!$A:$A, "&lt;=30/06/2026"))</f>
        <v>0</v>
      </c>
      <c r="N14" s="5"/>
      <c r="O14" s="5">
        <f>IF(ISBLANK($A14), "", SUMIFS('Histórico26'!$C:$C, 'Histórico26'!$D:$D, $A14, 'Histórico26'!$A:$A, "&gt;=01/07/2026", 'Histórico26'!$A:$A, "&lt;=31/07/2026"))</f>
        <v>0</v>
      </c>
      <c r="P14" s="5"/>
      <c r="Q14" s="5">
        <f>IF(ISBLANK($A14), "", SUMIFS('Histórico26'!$C:$C, 'Histórico26'!$D:$D, $A14, 'Histórico26'!$A:$A, "&gt;=01/08/2025", 'Histórico26'!$A:$A, "&lt;=31/08/2025"))</f>
        <v>0</v>
      </c>
      <c r="R14" s="5"/>
      <c r="S14" s="5">
        <f>IF(ISBLANK($A14), "", SUMIFS('Histórico26'!$C:$C, 'Histórico26'!$D:$D, $A14, 'Histórico26'!$A:$A, "&gt;=01/09/2025", 'Histórico26'!$A:$A, "&lt;=31/09/2025"))</f>
        <v>0</v>
      </c>
      <c r="T14" s="5"/>
      <c r="U14" s="5">
        <f>IF(ISBLANK($A14), "", SUMIFS('Histórico26'!$C:$C, 'Histórico26'!$D:$D, $A14, 'Histórico26'!$A:$A, "&gt;=01/10/2025", 'Histórico26'!$A:$A, "&lt;=31/10/2025"))</f>
        <v>0</v>
      </c>
      <c r="V14" s="5"/>
      <c r="W14" s="5">
        <f>IF(ISBLANK($A14), "", SUMIFS('Histórico26'!$C:$C, 'Histórico26'!$D:$D, $A14, 'Histórico26'!$A:$A, "&gt;=01/11/2025", 'Histórico26'!$A:$A, "&lt;=30/11/2025"))</f>
        <v>0</v>
      </c>
      <c r="X14" s="5"/>
      <c r="Y14" s="5">
        <f>IF(ISBLANK($A14), "", SUMIFS('Histórico26'!$C:$C, 'Histórico26'!$D:$D, $A14, 'Histórico26'!$A:$A, "&gt;=01/12/2025", 'Histórico26'!$A:$A, "&lt;=31/12/2025"))</f>
        <v>0</v>
      </c>
      <c r="Z14" s="20">
        <f t="shared" si="7"/>
        <v>0</v>
      </c>
      <c r="AA14" s="6">
        <f t="shared" si="8"/>
        <v>0</v>
      </c>
    </row>
    <row r="15" ht="22.5" customHeight="1">
      <c r="A15" s="14" t="s">
        <v>40</v>
      </c>
      <c r="B15" s="15"/>
      <c r="C15" s="16">
        <f>IF(ISBLANK($A15), "", SUMIFS('Histórico26'!$C:$C, 'Histórico26'!$D:$D, $A15, 'Histórico26'!$A:$A, "&gt;=01/01/2026", 'Histórico26'!$A:$A, "&lt;=31/01/2026"))</f>
        <v>0</v>
      </c>
      <c r="D15" s="16"/>
      <c r="E15" s="16">
        <f>IF(ISBLANK($A15), "", SUMIFS('Histórico26'!$C:$C, 'Histórico26'!$D:$D, $A15, 'Histórico26'!$A:$A, "&gt;=01/02/2026", 'Histórico26'!$A:$A, "&lt;=28/02/2026"))</f>
        <v>0</v>
      </c>
      <c r="F15" s="16"/>
      <c r="G15" s="16">
        <f>IF(ISBLANK($A15), "", SUMIFS('Histórico26'!$C:$C, 'Histórico26'!$D:$D, $A15, 'Histórico26'!$A:$A, "&gt;=01/03/2026", 'Histórico26'!$A:$A, "&lt;=31/03/2026"))</f>
        <v>0</v>
      </c>
      <c r="H15" s="16"/>
      <c r="I15" s="16">
        <f>IF(ISBLANK($A15), "", SUMIFS('Histórico26'!$C:$C, 'Histórico26'!$D:$D, $A15, 'Histórico26'!$A:$A, "&gt;=01/04/2026", 'Histórico26'!$A:$A, "&lt;=30/04/2026"))</f>
        <v>0</v>
      </c>
      <c r="J15" s="16"/>
      <c r="K15" s="16">
        <f>IF(ISBLANK($A15), "", SUMIFS('Histórico26'!$C:$C, 'Histórico26'!$D:$D, $A15, 'Histórico26'!$A:$A, "&gt;=01/05/2026", 'Histórico26'!$A:$A, "&lt;=31/05/2026"))</f>
        <v>0</v>
      </c>
      <c r="L15" s="16"/>
      <c r="M15" s="16">
        <f>IF(ISBLANK($A15), "", SUMIFS('Histórico26'!$C:$C, 'Histórico26'!$D:$D, $A15, 'Histórico26'!$A:$A, "&gt;=01/06/2026", 'Histórico26'!$A:$A, "&lt;=30/06/2026"))</f>
        <v>0</v>
      </c>
      <c r="N15" s="16"/>
      <c r="O15" s="16">
        <f>IF(ISBLANK($A15), "", SUMIFS('Histórico26'!$C:$C, 'Histórico26'!$D:$D, $A15, 'Histórico26'!$A:$A, "&gt;=01/07/2026", 'Histórico26'!$A:$A, "&lt;=31/07/2026"))</f>
        <v>0</v>
      </c>
      <c r="P15" s="16"/>
      <c r="Q15" s="16">
        <f>IF(ISBLANK($A15), "", SUMIFS('Histórico26'!$C:$C, 'Histórico26'!$D:$D, $A15, 'Histórico26'!$A:$A, "&gt;=01/08/2025", 'Histórico26'!$A:$A, "&lt;=31/08/2025"))</f>
        <v>0</v>
      </c>
      <c r="R15" s="16"/>
      <c r="S15" s="16">
        <f>IF(ISBLANK($A15), "", SUMIFS('Histórico26'!$C:$C, 'Histórico26'!$D:$D, $A15, 'Histórico26'!$A:$A, "&gt;=01/09/2025", 'Histórico26'!$A:$A, "&lt;=31/09/2025"))</f>
        <v>0</v>
      </c>
      <c r="T15" s="16"/>
      <c r="U15" s="16">
        <f>IF(ISBLANK($A15), "", SUMIFS('Histórico26'!$C:$C, 'Histórico26'!$D:$D, $A15, 'Histórico26'!$A:$A, "&gt;=01/10/2025", 'Histórico26'!$A:$A, "&lt;=31/10/2025"))</f>
        <v>0</v>
      </c>
      <c r="V15" s="16"/>
      <c r="W15" s="16">
        <f>IF(ISBLANK($A15), "", SUMIFS('Histórico26'!$C:$C, 'Histórico26'!$D:$D, $A15, 'Histórico26'!$A:$A, "&gt;=01/11/2025", 'Histórico26'!$A:$A, "&lt;=30/11/2025"))</f>
        <v>0</v>
      </c>
      <c r="X15" s="16"/>
      <c r="Y15" s="16">
        <f>IF(ISBLANK($A15), "", SUMIFS('Histórico26'!$C:$C, 'Histórico26'!$D:$D, $A15, 'Histórico26'!$A:$A, "&gt;=01/12/2025", 'Histórico26'!$A:$A, "&lt;=31/12/2025"))</f>
        <v>0</v>
      </c>
      <c r="Z15" s="16">
        <f t="shared" si="7"/>
        <v>0</v>
      </c>
      <c r="AA15" s="17">
        <f t="shared" si="8"/>
        <v>0</v>
      </c>
    </row>
    <row r="16" ht="22.5" customHeight="1">
      <c r="A16" s="18" t="s">
        <v>41</v>
      </c>
      <c r="B16" s="19"/>
      <c r="C16" s="5">
        <f>IF(ISBLANK($A16), "", SUMIFS('Histórico26'!$C:$C, 'Histórico26'!$D:$D, $A16, 'Histórico26'!$A:$A, "&gt;=01/01/2026", 'Histórico26'!$A:$A, "&lt;=31/01/2026"))</f>
        <v>0</v>
      </c>
      <c r="D16" s="5"/>
      <c r="E16" s="5">
        <f>IF(ISBLANK($A16), "", SUMIFS('Histórico26'!$C:$C, 'Histórico26'!$D:$D, $A16, 'Histórico26'!$A:$A, "&gt;=01/02/2026", 'Histórico26'!$A:$A, "&lt;=28/02/2026"))</f>
        <v>0</v>
      </c>
      <c r="F16" s="5"/>
      <c r="G16" s="5">
        <f>IF(ISBLANK($A16), "", SUMIFS('Histórico26'!$C:$C, 'Histórico26'!$D:$D, $A16, 'Histórico26'!$A:$A, "&gt;=01/03/2026", 'Histórico26'!$A:$A, "&lt;=31/03/2026"))</f>
        <v>0</v>
      </c>
      <c r="H16" s="5"/>
      <c r="I16" s="5">
        <f>IF(ISBLANK($A16), "", SUMIFS('Histórico26'!$C:$C, 'Histórico26'!$D:$D, $A16, 'Histórico26'!$A:$A, "&gt;=01/04/2026", 'Histórico26'!$A:$A, "&lt;=30/04/2026"))</f>
        <v>0</v>
      </c>
      <c r="J16" s="5"/>
      <c r="K16" s="5">
        <f>IF(ISBLANK($A16), "", SUMIFS('Histórico26'!$C:$C, 'Histórico26'!$D:$D, $A16, 'Histórico26'!$A:$A, "&gt;=01/05/2026", 'Histórico26'!$A:$A, "&lt;=31/05/2026"))</f>
        <v>0</v>
      </c>
      <c r="L16" s="5"/>
      <c r="M16" s="5">
        <f>IF(ISBLANK($A16), "", SUMIFS('Histórico26'!$C:$C, 'Histórico26'!$D:$D, $A16, 'Histórico26'!$A:$A, "&gt;=01/06/2026", 'Histórico26'!$A:$A, "&lt;=30/06/2026"))</f>
        <v>0</v>
      </c>
      <c r="N16" s="5"/>
      <c r="O16" s="5">
        <f>IF(ISBLANK($A16), "", SUMIFS('Histórico26'!$C:$C, 'Histórico26'!$D:$D, $A16, 'Histórico26'!$A:$A, "&gt;=01/07/2026", 'Histórico26'!$A:$A, "&lt;=31/07/2026"))</f>
        <v>0</v>
      </c>
      <c r="P16" s="5"/>
      <c r="Q16" s="5">
        <f>IF(ISBLANK($A16), "", SUMIFS('Histórico26'!$C:$C, 'Histórico26'!$D:$D, $A16, 'Histórico26'!$A:$A, "&gt;=01/08/2025", 'Histórico26'!$A:$A, "&lt;=31/08/2025"))</f>
        <v>0</v>
      </c>
      <c r="R16" s="5"/>
      <c r="S16" s="5">
        <f>IF(ISBLANK($A16), "", SUMIFS('Histórico26'!$C:$C, 'Histórico26'!$D:$D, $A16, 'Histórico26'!$A:$A, "&gt;=01/09/2025", 'Histórico26'!$A:$A, "&lt;=31/09/2025"))</f>
        <v>0</v>
      </c>
      <c r="T16" s="5"/>
      <c r="U16" s="5">
        <f>IF(ISBLANK($A16), "", SUMIFS('Histórico26'!$C:$C, 'Histórico26'!$D:$D, $A16, 'Histórico26'!$A:$A, "&gt;=01/10/2025", 'Histórico26'!$A:$A, "&lt;=31/10/2025"))</f>
        <v>0</v>
      </c>
      <c r="V16" s="5"/>
      <c r="W16" s="5">
        <f>IF(ISBLANK($A16), "", SUMIFS('Histórico26'!$C:$C, 'Histórico26'!$D:$D, $A16, 'Histórico26'!$A:$A, "&gt;=01/11/2025", 'Histórico26'!$A:$A, "&lt;=30/11/2025"))</f>
        <v>0</v>
      </c>
      <c r="X16" s="5"/>
      <c r="Y16" s="5">
        <f>IF(ISBLANK($A16), "", SUMIFS('Histórico26'!$C:$C, 'Histórico26'!$D:$D, $A16, 'Histórico26'!$A:$A, "&gt;=01/12/2025", 'Histórico26'!$A:$A, "&lt;=31/12/2025"))</f>
        <v>0</v>
      </c>
      <c r="Z16" s="20">
        <f t="shared" si="7"/>
        <v>0</v>
      </c>
      <c r="AA16" s="6">
        <f t="shared" si="8"/>
        <v>0</v>
      </c>
    </row>
    <row r="17" ht="22.5" customHeight="1">
      <c r="A17" s="14" t="s">
        <v>42</v>
      </c>
      <c r="B17" s="15"/>
      <c r="C17" s="16">
        <f>IF(ISBLANK($A17), "", SUMIFS('Histórico26'!$C:$C, 'Histórico26'!$D:$D, $A17, 'Histórico26'!$A:$A, "&gt;=01/01/2026", 'Histórico26'!$A:$A, "&lt;=31/01/2026"))</f>
        <v>0</v>
      </c>
      <c r="D17" s="16"/>
      <c r="E17" s="16">
        <f>IF(ISBLANK($A17), "", SUMIFS('Histórico26'!$C:$C, 'Histórico26'!$D:$D, $A17, 'Histórico26'!$A:$A, "&gt;=01/02/2026", 'Histórico26'!$A:$A, "&lt;=28/02/2026"))</f>
        <v>0</v>
      </c>
      <c r="F17" s="16"/>
      <c r="G17" s="16">
        <f>IF(ISBLANK($A17), "", SUMIFS('Histórico26'!$C:$C, 'Histórico26'!$D:$D, $A17, 'Histórico26'!$A:$A, "&gt;=01/03/2026", 'Histórico26'!$A:$A, "&lt;=31/03/2026"))</f>
        <v>0</v>
      </c>
      <c r="H17" s="16"/>
      <c r="I17" s="16">
        <f>IF(ISBLANK($A17), "", SUMIFS('Histórico26'!$C:$C, 'Histórico26'!$D:$D, $A17, 'Histórico26'!$A:$A, "&gt;=01/04/2026", 'Histórico26'!$A:$A, "&lt;=30/04/2026"))</f>
        <v>0</v>
      </c>
      <c r="J17" s="16"/>
      <c r="K17" s="16">
        <f>IF(ISBLANK($A17), "", SUMIFS('Histórico26'!$C:$C, 'Histórico26'!$D:$D, $A17, 'Histórico26'!$A:$A, "&gt;=01/05/2026", 'Histórico26'!$A:$A, "&lt;=31/05/2026"))</f>
        <v>0</v>
      </c>
      <c r="L17" s="16"/>
      <c r="M17" s="16">
        <f>IF(ISBLANK($A17), "", SUMIFS('Histórico26'!$C:$C, 'Histórico26'!$D:$D, $A17, 'Histórico26'!$A:$A, "&gt;=01/06/2026", 'Histórico26'!$A:$A, "&lt;=30/06/2026"))</f>
        <v>0</v>
      </c>
      <c r="N17" s="16"/>
      <c r="O17" s="16">
        <f>IF(ISBLANK($A17), "", SUMIFS('Histórico26'!$C:$C, 'Histórico26'!$D:$D, $A17, 'Histórico26'!$A:$A, "&gt;=01/07/2026", 'Histórico26'!$A:$A, "&lt;=31/07/2026"))</f>
        <v>0</v>
      </c>
      <c r="P17" s="16"/>
      <c r="Q17" s="16">
        <f>IF(ISBLANK($A17), "", SUMIFS('Histórico26'!$C:$C, 'Histórico26'!$D:$D, $A17, 'Histórico26'!$A:$A, "&gt;=01/08/2025", 'Histórico26'!$A:$A, "&lt;=31/08/2025"))</f>
        <v>0</v>
      </c>
      <c r="R17" s="16"/>
      <c r="S17" s="16">
        <f>IF(ISBLANK($A17), "", SUMIFS('Histórico26'!$C:$C, 'Histórico26'!$D:$D, $A17, 'Histórico26'!$A:$A, "&gt;=01/09/2025", 'Histórico26'!$A:$A, "&lt;=31/09/2025"))</f>
        <v>0</v>
      </c>
      <c r="T17" s="16"/>
      <c r="U17" s="16">
        <f>IF(ISBLANK($A17), "", SUMIFS('Histórico26'!$C:$C, 'Histórico26'!$D:$D, $A17, 'Histórico26'!$A:$A, "&gt;=01/10/2025", 'Histórico26'!$A:$A, "&lt;=31/10/2025"))</f>
        <v>0</v>
      </c>
      <c r="V17" s="16"/>
      <c r="W17" s="16">
        <f>IF(ISBLANK($A17), "", SUMIFS('Histórico26'!$C:$C, 'Histórico26'!$D:$D, $A17, 'Histórico26'!$A:$A, "&gt;=01/11/2025", 'Histórico26'!$A:$A, "&lt;=30/11/2025"))</f>
        <v>0</v>
      </c>
      <c r="X17" s="16"/>
      <c r="Y17" s="16">
        <f>IF(ISBLANK($A17), "", SUMIFS('Histórico26'!$C:$C, 'Histórico26'!$D:$D, $A17, 'Histórico26'!$A:$A, "&gt;=01/12/2025", 'Histórico26'!$A:$A, "&lt;=31/12/2025"))</f>
        <v>0</v>
      </c>
      <c r="Z17" s="16">
        <f t="shared" si="7"/>
        <v>0</v>
      </c>
      <c r="AA17" s="17">
        <f t="shared" si="8"/>
        <v>0</v>
      </c>
    </row>
    <row r="18" ht="22.5" customHeight="1">
      <c r="A18" s="18" t="s">
        <v>43</v>
      </c>
      <c r="B18" s="19">
        <v>0.0</v>
      </c>
      <c r="C18" s="5">
        <f>IF(ISBLANK($A18), "", SUMIFS('Histórico26'!$C:$C, 'Histórico26'!$D:$D, $A18, 'Histórico26'!$A:$A, "&gt;=01/01/2026", 'Histórico26'!$A:$A, "&lt;=31/01/2026"))</f>
        <v>0</v>
      </c>
      <c r="D18" s="5">
        <v>0.0</v>
      </c>
      <c r="E18" s="5">
        <f>IF(ISBLANK($A18), "", SUMIFS('Histórico26'!$C:$C, 'Histórico26'!$D:$D, $A18, 'Histórico26'!$A:$A, "&gt;=01/02/2026", 'Histórico26'!$A:$A, "&lt;=28/02/2026"))</f>
        <v>0</v>
      </c>
      <c r="F18" s="5">
        <v>120.0</v>
      </c>
      <c r="G18" s="5">
        <f>IF(ISBLANK($A18), "", SUMIFS('Histórico26'!$C:$C, 'Histórico26'!$D:$D, $A18, 'Histórico26'!$A:$A, "&gt;=01/03/2026", 'Histórico26'!$A:$A, "&lt;=31/03/2026"))</f>
        <v>0</v>
      </c>
      <c r="H18" s="5">
        <v>120.0</v>
      </c>
      <c r="I18" s="5">
        <f>IF(ISBLANK($A18), "", SUMIFS('Histórico26'!$C:$C, 'Histórico26'!$D:$D, $A18, 'Histórico26'!$A:$A, "&gt;=01/04/2026", 'Histórico26'!$A:$A, "&lt;=30/04/2026"))</f>
        <v>0</v>
      </c>
      <c r="J18" s="5">
        <v>0.0</v>
      </c>
      <c r="K18" s="5">
        <f>IF(ISBLANK($A18), "", SUMIFS('Histórico26'!$C:$C, 'Histórico26'!$D:$D, $A18, 'Histórico26'!$A:$A, "&gt;=01/05/2026", 'Histórico26'!$A:$A, "&lt;=31/05/2026"))</f>
        <v>0</v>
      </c>
      <c r="L18" s="5">
        <v>0.0</v>
      </c>
      <c r="M18" s="5">
        <f>IF(ISBLANK($A18), "", SUMIFS('Histórico26'!$C:$C, 'Histórico26'!$D:$D, $A18, 'Histórico26'!$A:$A, "&gt;=01/06/2026", 'Histórico26'!$A:$A, "&lt;=30/06/2026"))</f>
        <v>0</v>
      </c>
      <c r="N18" s="5">
        <v>0.0</v>
      </c>
      <c r="O18" s="5">
        <f>IF(ISBLANK($A18), "", SUMIFS('Histórico26'!$C:$C, 'Histórico26'!$D:$D, $A18, 'Histórico26'!$A:$A, "&gt;=01/07/2026", 'Histórico26'!$A:$A, "&lt;=31/07/2026"))</f>
        <v>0</v>
      </c>
      <c r="P18" s="5">
        <v>0.0</v>
      </c>
      <c r="Q18" s="5">
        <f>IF(ISBLANK($A18), "", SUMIFS('Histórico26'!$C:$C, 'Histórico26'!$D:$D, $A18, 'Histórico26'!$A:$A, "&gt;=01/08/2025", 'Histórico26'!$A:$A, "&lt;=31/08/2025"))</f>
        <v>0</v>
      </c>
      <c r="R18" s="5">
        <v>0.0</v>
      </c>
      <c r="S18" s="5">
        <f>IF(ISBLANK($A18), "", SUMIFS('Histórico26'!$C:$C, 'Histórico26'!$D:$D, $A18, 'Histórico26'!$A:$A, "&gt;=01/09/2025", 'Histórico26'!$A:$A, "&lt;=31/09/2025"))</f>
        <v>0</v>
      </c>
      <c r="T18" s="5">
        <v>0.0</v>
      </c>
      <c r="U18" s="5">
        <f>IF(ISBLANK($A18), "", SUMIFS('Histórico26'!$C:$C, 'Histórico26'!$D:$D, $A18, 'Histórico26'!$A:$A, "&gt;=01/10/2025", 'Histórico26'!$A:$A, "&lt;=31/10/2025"))</f>
        <v>0</v>
      </c>
      <c r="V18" s="5">
        <v>0.0</v>
      </c>
      <c r="W18" s="5">
        <f>IF(ISBLANK($A18), "", SUMIFS('Histórico26'!$C:$C, 'Histórico26'!$D:$D, $A18, 'Histórico26'!$A:$A, "&gt;=01/11/2025", 'Histórico26'!$A:$A, "&lt;=30/11/2025"))</f>
        <v>0</v>
      </c>
      <c r="X18" s="5">
        <v>0.0</v>
      </c>
      <c r="Y18" s="5">
        <f>IF(ISBLANK($A18), "", SUMIFS('Histórico26'!$C:$C, 'Histórico26'!$D:$D, $A18, 'Histórico26'!$A:$A, "&gt;=01/12/2025", 'Histórico26'!$A:$A, "&lt;=31/12/2025"))</f>
        <v>0</v>
      </c>
      <c r="Z18" s="20">
        <f t="shared" si="7"/>
        <v>240</v>
      </c>
      <c r="AA18" s="6">
        <f t="shared" si="8"/>
        <v>0</v>
      </c>
    </row>
    <row r="19" ht="22.5" customHeight="1">
      <c r="A19" s="11" t="s">
        <v>44</v>
      </c>
      <c r="B19" s="12">
        <f t="shared" ref="B19:AA19" si="9">SUM(B20:B31)</f>
        <v>0</v>
      </c>
      <c r="C19" s="12">
        <f t="shared" si="9"/>
        <v>0</v>
      </c>
      <c r="D19" s="12">
        <f t="shared" si="9"/>
        <v>0</v>
      </c>
      <c r="E19" s="12">
        <f t="shared" si="9"/>
        <v>1.31</v>
      </c>
      <c r="F19" s="12">
        <f t="shared" si="9"/>
        <v>0</v>
      </c>
      <c r="G19" s="12">
        <f t="shared" si="9"/>
        <v>0</v>
      </c>
      <c r="H19" s="12">
        <f t="shared" si="9"/>
        <v>0</v>
      </c>
      <c r="I19" s="12">
        <f t="shared" si="9"/>
        <v>0</v>
      </c>
      <c r="J19" s="12">
        <f t="shared" si="9"/>
        <v>0</v>
      </c>
      <c r="K19" s="12">
        <f t="shared" si="9"/>
        <v>0</v>
      </c>
      <c r="L19" s="12">
        <f t="shared" si="9"/>
        <v>0</v>
      </c>
      <c r="M19" s="12">
        <f t="shared" si="9"/>
        <v>0</v>
      </c>
      <c r="N19" s="12">
        <f t="shared" si="9"/>
        <v>0</v>
      </c>
      <c r="O19" s="12">
        <f t="shared" si="9"/>
        <v>0</v>
      </c>
      <c r="P19" s="12">
        <f t="shared" si="9"/>
        <v>0</v>
      </c>
      <c r="Q19" s="12">
        <f t="shared" si="9"/>
        <v>0</v>
      </c>
      <c r="R19" s="12">
        <f t="shared" si="9"/>
        <v>0</v>
      </c>
      <c r="S19" s="12">
        <f t="shared" si="9"/>
        <v>0</v>
      </c>
      <c r="T19" s="12">
        <f t="shared" si="9"/>
        <v>0</v>
      </c>
      <c r="U19" s="12">
        <f t="shared" si="9"/>
        <v>0</v>
      </c>
      <c r="V19" s="12">
        <f t="shared" si="9"/>
        <v>0</v>
      </c>
      <c r="W19" s="12">
        <f t="shared" si="9"/>
        <v>0</v>
      </c>
      <c r="X19" s="12">
        <f t="shared" si="9"/>
        <v>0</v>
      </c>
      <c r="Y19" s="12">
        <f t="shared" si="9"/>
        <v>0</v>
      </c>
      <c r="Z19" s="12">
        <f t="shared" si="9"/>
        <v>0</v>
      </c>
      <c r="AA19" s="13">
        <f t="shared" si="9"/>
        <v>1.31</v>
      </c>
    </row>
    <row r="20" ht="22.5" customHeight="1">
      <c r="A20" s="18" t="s">
        <v>45</v>
      </c>
      <c r="B20" s="19"/>
      <c r="C20" s="5">
        <f>IF(ISBLANK($A20), "", SUMIFS('Histórico26'!$C:$C, 'Histórico26'!$D:$D, $A20, 'Histórico26'!$A:$A, "&gt;=01/01/2026", 'Histórico26'!$A:$A, "&lt;=31/01/2026"))</f>
        <v>0</v>
      </c>
      <c r="D20" s="5"/>
      <c r="E20" s="5">
        <f>IF(ISBLANK($A20), "", SUMIFS('Histórico26'!$C:$C, 'Histórico26'!$D:$D, $A20, 'Histórico26'!$A:$A, "&gt;=01/02/2026", 'Histórico26'!$A:$A, "&lt;=28/02/2026"))</f>
        <v>0</v>
      </c>
      <c r="F20" s="5"/>
      <c r="G20" s="5">
        <f>IF(ISBLANK($A20), "", SUMIFS('Histórico26'!$C:$C, 'Histórico26'!$D:$D, $A20, 'Histórico26'!$A:$A, "&gt;=01/03/2026", 'Histórico26'!$A:$A, "&lt;=31/03/2026"))</f>
        <v>0</v>
      </c>
      <c r="H20" s="5"/>
      <c r="I20" s="5">
        <f>IF(ISBLANK($A20), "", SUMIFS('Histórico26'!$C:$C, 'Histórico26'!$D:$D, $A20, 'Histórico26'!$A:$A, "&gt;=01/04/2026", 'Histórico26'!$A:$A, "&lt;=30/04/2026"))</f>
        <v>0</v>
      </c>
      <c r="J20" s="5"/>
      <c r="K20" s="5">
        <f>IF(ISBLANK($A20), "", SUMIFS('Histórico26'!$C:$C, 'Histórico26'!$D:$D, $A20, 'Histórico26'!$A:$A, "&gt;=01/05/2026", 'Histórico26'!$A:$A, "&lt;=31/05/2026"))</f>
        <v>0</v>
      </c>
      <c r="L20" s="5"/>
      <c r="M20" s="5">
        <f>IF(ISBLANK($A20), "", SUMIFS('Histórico26'!$C:$C, 'Histórico26'!$D:$D, $A20, 'Histórico26'!$A:$A, "&gt;=01/06/2026", 'Histórico26'!$A:$A, "&lt;=30/06/2026"))</f>
        <v>0</v>
      </c>
      <c r="N20" s="5"/>
      <c r="O20" s="5">
        <f>IF(ISBLANK($A20), "", SUMIFS('Histórico26'!$C:$C, 'Histórico26'!$D:$D, $A20, 'Histórico26'!$A:$A, "&gt;=01/07/2026", 'Histórico26'!$A:$A, "&lt;=31/07/2026"))</f>
        <v>0</v>
      </c>
      <c r="P20" s="5"/>
      <c r="Q20" s="5">
        <f>IF(ISBLANK($A20), "", SUMIFS('Histórico26'!$C:$C, 'Histórico26'!$D:$D, $A20, 'Histórico26'!$A:$A, "&gt;=01/08/2025", 'Histórico26'!$A:$A, "&lt;=31/08/2025"))</f>
        <v>0</v>
      </c>
      <c r="R20" s="5"/>
      <c r="S20" s="5">
        <f>IF(ISBLANK($A20), "", SUMIFS('Histórico26'!$C:$C, 'Histórico26'!$D:$D, $A20, 'Histórico26'!$A:$A, "&gt;=01/09/2025", 'Histórico26'!$A:$A, "&lt;=31/09/2025"))</f>
        <v>0</v>
      </c>
      <c r="T20" s="5"/>
      <c r="U20" s="5">
        <f>IF(ISBLANK($A20), "", SUMIFS('Histórico26'!$C:$C, 'Histórico26'!$D:$D, $A20, 'Histórico26'!$A:$A, "&gt;=01/10/2025", 'Histórico26'!$A:$A, "&lt;=31/10/2025"))</f>
        <v>0</v>
      </c>
      <c r="V20" s="5"/>
      <c r="W20" s="5">
        <f>IF(ISBLANK($A20), "", SUMIFS('Histórico26'!$C:$C, 'Histórico26'!$D:$D, $A20, 'Histórico26'!$A:$A, "&gt;=01/11/2025", 'Histórico26'!$A:$A, "&lt;=30/11/2025"))</f>
        <v>0</v>
      </c>
      <c r="X20" s="5"/>
      <c r="Y20" s="5">
        <f>IF(ISBLANK($A20), "", SUMIFS('Histórico26'!$C:$C, 'Histórico26'!$D:$D, $A20, 'Histórico26'!$A:$A, "&gt;=01/12/2025", 'Histórico26'!$A:$A, "&lt;=31/12/2025"))</f>
        <v>0</v>
      </c>
      <c r="Z20" s="20">
        <f t="shared" ref="Z20:Z31" si="10">SUM(B20+D20+F20+H20+J20+L20+N20+P20+R20+T20+V20+X20)</f>
        <v>0</v>
      </c>
      <c r="AA20" s="6">
        <f t="shared" ref="AA20:AA31" si="11">SUM(C20,E20,G20,I20,K20,M20,O20,Q20,S20,U20,W20,Y20)</f>
        <v>0</v>
      </c>
    </row>
    <row r="21" ht="22.5" customHeight="1">
      <c r="A21" s="14" t="s">
        <v>46</v>
      </c>
      <c r="B21" s="15"/>
      <c r="C21" s="16">
        <f>IF(ISBLANK($A21), "", SUMIFS('Histórico26'!$C:$C, 'Histórico26'!$D:$D, $A21, 'Histórico26'!$A:$A, "&gt;=01/01/2026", 'Histórico26'!$A:$A, "&lt;=31/01/2026"))</f>
        <v>0</v>
      </c>
      <c r="D21" s="16"/>
      <c r="E21" s="16">
        <f>IF(ISBLANK($A21), "", SUMIFS('Histórico26'!$C:$C, 'Histórico26'!$D:$D, $A21, 'Histórico26'!$A:$A, "&gt;=01/02/2026", 'Histórico26'!$A:$A, "&lt;=28/02/2026"))</f>
        <v>0</v>
      </c>
      <c r="F21" s="16"/>
      <c r="G21" s="16">
        <f>IF(ISBLANK($A21), "", SUMIFS('Histórico26'!$C:$C, 'Histórico26'!$D:$D, $A21, 'Histórico26'!$A:$A, "&gt;=01/03/2026", 'Histórico26'!$A:$A, "&lt;=31/03/2026"))</f>
        <v>0</v>
      </c>
      <c r="H21" s="16"/>
      <c r="I21" s="16">
        <f>IF(ISBLANK($A21), "", SUMIFS('Histórico26'!$C:$C, 'Histórico26'!$D:$D, $A21, 'Histórico26'!$A:$A, "&gt;=01/04/2026", 'Histórico26'!$A:$A, "&lt;=30/04/2026"))</f>
        <v>0</v>
      </c>
      <c r="J21" s="16"/>
      <c r="K21" s="16">
        <f>IF(ISBLANK($A21), "", SUMIFS('Histórico26'!$C:$C, 'Histórico26'!$D:$D, $A21, 'Histórico26'!$A:$A, "&gt;=01/05/2026", 'Histórico26'!$A:$A, "&lt;=31/05/2026"))</f>
        <v>0</v>
      </c>
      <c r="L21" s="16"/>
      <c r="M21" s="16">
        <f>IF(ISBLANK($A21), "", SUMIFS('Histórico26'!$C:$C, 'Histórico26'!$D:$D, $A21, 'Histórico26'!$A:$A, "&gt;=01/06/2026", 'Histórico26'!$A:$A, "&lt;=30/06/2026"))</f>
        <v>0</v>
      </c>
      <c r="N21" s="16"/>
      <c r="O21" s="16">
        <f>IF(ISBLANK($A21), "", SUMIFS('Histórico26'!$C:$C, 'Histórico26'!$D:$D, $A21, 'Histórico26'!$A:$A, "&gt;=01/07/2026", 'Histórico26'!$A:$A, "&lt;=31/07/2026"))</f>
        <v>0</v>
      </c>
      <c r="P21" s="16"/>
      <c r="Q21" s="16">
        <f>IF(ISBLANK($A21), "", SUMIFS('Histórico26'!$C:$C, 'Histórico26'!$D:$D, $A21, 'Histórico26'!$A:$A, "&gt;=01/08/2025", 'Histórico26'!$A:$A, "&lt;=31/08/2025"))</f>
        <v>0</v>
      </c>
      <c r="R21" s="16"/>
      <c r="S21" s="16">
        <f>IF(ISBLANK($A21), "", SUMIFS('Histórico26'!$C:$C, 'Histórico26'!$D:$D, $A21, 'Histórico26'!$A:$A, "&gt;=01/09/2025", 'Histórico26'!$A:$A, "&lt;=31/09/2025"))</f>
        <v>0</v>
      </c>
      <c r="T21" s="16"/>
      <c r="U21" s="16">
        <f>IF(ISBLANK($A21), "", SUMIFS('Histórico26'!$C:$C, 'Histórico26'!$D:$D, $A21, 'Histórico26'!$A:$A, "&gt;=01/10/2025", 'Histórico26'!$A:$A, "&lt;=31/10/2025"))</f>
        <v>0</v>
      </c>
      <c r="V21" s="16"/>
      <c r="W21" s="16">
        <f>IF(ISBLANK($A21), "", SUMIFS('Histórico26'!$C:$C, 'Histórico26'!$D:$D, $A21, 'Histórico26'!$A:$A, "&gt;=01/11/2025", 'Histórico26'!$A:$A, "&lt;=30/11/2025"))</f>
        <v>0</v>
      </c>
      <c r="X21" s="16"/>
      <c r="Y21" s="16">
        <f>IF(ISBLANK($A21), "", SUMIFS('Histórico26'!$C:$C, 'Histórico26'!$D:$D, $A21, 'Histórico26'!$A:$A, "&gt;=01/12/2025", 'Histórico26'!$A:$A, "&lt;=31/12/2025"))</f>
        <v>0</v>
      </c>
      <c r="Z21" s="16">
        <f t="shared" si="10"/>
        <v>0</v>
      </c>
      <c r="AA21" s="17">
        <f t="shared" si="11"/>
        <v>0</v>
      </c>
    </row>
    <row r="22" ht="22.5" customHeight="1">
      <c r="A22" s="18" t="s">
        <v>47</v>
      </c>
      <c r="B22" s="19"/>
      <c r="C22" s="5">
        <f>IF(ISBLANK($A22), "", SUMIFS('Histórico26'!$C:$C, 'Histórico26'!$D:$D, $A22, 'Histórico26'!$A:$A, "&gt;=01/01/2026", 'Histórico26'!$A:$A, "&lt;=31/01/2026"))</f>
        <v>0</v>
      </c>
      <c r="D22" s="5"/>
      <c r="E22" s="5">
        <f>IF(ISBLANK($A22), "", SUMIFS('Histórico26'!$C:$C, 'Histórico26'!$D:$D, $A22, 'Histórico26'!$A:$A, "&gt;=01/02/2026", 'Histórico26'!$A:$A, "&lt;=28/02/2026"))</f>
        <v>0</v>
      </c>
      <c r="F22" s="5"/>
      <c r="G22" s="5">
        <f>IF(ISBLANK($A22), "", SUMIFS('Histórico26'!$C:$C, 'Histórico26'!$D:$D, $A22, 'Histórico26'!$A:$A, "&gt;=01/03/2026", 'Histórico26'!$A:$A, "&lt;=31/03/2026"))</f>
        <v>0</v>
      </c>
      <c r="H22" s="5"/>
      <c r="I22" s="5">
        <f>IF(ISBLANK($A22), "", SUMIFS('Histórico26'!$C:$C, 'Histórico26'!$D:$D, $A22, 'Histórico26'!$A:$A, "&gt;=01/04/2026", 'Histórico26'!$A:$A, "&lt;=30/04/2026"))</f>
        <v>0</v>
      </c>
      <c r="J22" s="5"/>
      <c r="K22" s="5">
        <f>IF(ISBLANK($A22), "", SUMIFS('Histórico26'!$C:$C, 'Histórico26'!$D:$D, $A22, 'Histórico26'!$A:$A, "&gt;=01/05/2026", 'Histórico26'!$A:$A, "&lt;=31/05/2026"))</f>
        <v>0</v>
      </c>
      <c r="L22" s="5"/>
      <c r="M22" s="5">
        <f>IF(ISBLANK($A22), "", SUMIFS('Histórico26'!$C:$C, 'Histórico26'!$D:$D, $A22, 'Histórico26'!$A:$A, "&gt;=01/06/2026", 'Histórico26'!$A:$A, "&lt;=30/06/2026"))</f>
        <v>0</v>
      </c>
      <c r="N22" s="5"/>
      <c r="O22" s="5">
        <f>IF(ISBLANK($A22), "", SUMIFS('Histórico26'!$C:$C, 'Histórico26'!$D:$D, $A22, 'Histórico26'!$A:$A, "&gt;=01/07/2026", 'Histórico26'!$A:$A, "&lt;=31/07/2026"))</f>
        <v>0</v>
      </c>
      <c r="P22" s="5"/>
      <c r="Q22" s="5">
        <f>IF(ISBLANK($A22), "", SUMIFS('Histórico26'!$C:$C, 'Histórico26'!$D:$D, $A22, 'Histórico26'!$A:$A, "&gt;=01/08/2025", 'Histórico26'!$A:$A, "&lt;=31/08/2025"))</f>
        <v>0</v>
      </c>
      <c r="R22" s="5"/>
      <c r="S22" s="5">
        <f>IF(ISBLANK($A22), "", SUMIFS('Histórico26'!$C:$C, 'Histórico26'!$D:$D, $A22, 'Histórico26'!$A:$A, "&gt;=01/09/2025", 'Histórico26'!$A:$A, "&lt;=31/09/2025"))</f>
        <v>0</v>
      </c>
      <c r="T22" s="5"/>
      <c r="U22" s="5">
        <f>IF(ISBLANK($A22), "", SUMIFS('Histórico26'!$C:$C, 'Histórico26'!$D:$D, $A22, 'Histórico26'!$A:$A, "&gt;=01/10/2025", 'Histórico26'!$A:$A, "&lt;=31/10/2025"))</f>
        <v>0</v>
      </c>
      <c r="V22" s="5"/>
      <c r="W22" s="5">
        <f>IF(ISBLANK($A22), "", SUMIFS('Histórico26'!$C:$C, 'Histórico26'!$D:$D, $A22, 'Histórico26'!$A:$A, "&gt;=01/11/2025", 'Histórico26'!$A:$A, "&lt;=30/11/2025"))</f>
        <v>0</v>
      </c>
      <c r="X22" s="5"/>
      <c r="Y22" s="5">
        <f>IF(ISBLANK($A22), "", SUMIFS('Histórico26'!$C:$C, 'Histórico26'!$D:$D, $A22, 'Histórico26'!$A:$A, "&gt;=01/12/2025", 'Histórico26'!$A:$A, "&lt;=31/12/2025"))</f>
        <v>0</v>
      </c>
      <c r="Z22" s="20">
        <f t="shared" si="10"/>
        <v>0</v>
      </c>
      <c r="AA22" s="6">
        <f t="shared" si="11"/>
        <v>0</v>
      </c>
    </row>
    <row r="23" ht="22.5" customHeight="1">
      <c r="A23" s="14" t="s">
        <v>48</v>
      </c>
      <c r="B23" s="15"/>
      <c r="C23" s="16">
        <f>IF(ISBLANK($A23), "", SUMIFS('Histórico26'!$C:$C, 'Histórico26'!$D:$D, $A23, 'Histórico26'!$A:$A, "&gt;=01/01/2026", 'Histórico26'!$A:$A, "&lt;=31/01/2026"))</f>
        <v>0</v>
      </c>
      <c r="D23" s="16"/>
      <c r="E23" s="16">
        <f>IF(ISBLANK($A23), "", SUMIFS('Histórico26'!$C:$C, 'Histórico26'!$D:$D, $A23, 'Histórico26'!$A:$A, "&gt;=01/02/2026", 'Histórico26'!$A:$A, "&lt;=28/02/2026"))</f>
        <v>0</v>
      </c>
      <c r="F23" s="16"/>
      <c r="G23" s="16">
        <f>IF(ISBLANK($A23), "", SUMIFS('Histórico26'!$C:$C, 'Histórico26'!$D:$D, $A23, 'Histórico26'!$A:$A, "&gt;=01/03/2026", 'Histórico26'!$A:$A, "&lt;=31/03/2026"))</f>
        <v>0</v>
      </c>
      <c r="H23" s="16"/>
      <c r="I23" s="16">
        <f>IF(ISBLANK($A23), "", SUMIFS('Histórico26'!$C:$C, 'Histórico26'!$D:$D, $A23, 'Histórico26'!$A:$A, "&gt;=01/04/2026", 'Histórico26'!$A:$A, "&lt;=30/04/2026"))</f>
        <v>0</v>
      </c>
      <c r="J23" s="16"/>
      <c r="K23" s="16">
        <f>IF(ISBLANK($A23), "", SUMIFS('Histórico26'!$C:$C, 'Histórico26'!$D:$D, $A23, 'Histórico26'!$A:$A, "&gt;=01/05/2026", 'Histórico26'!$A:$A, "&lt;=31/05/2026"))</f>
        <v>0</v>
      </c>
      <c r="L23" s="16"/>
      <c r="M23" s="16">
        <f>IF(ISBLANK($A23), "", SUMIFS('Histórico26'!$C:$C, 'Histórico26'!$D:$D, $A23, 'Histórico26'!$A:$A, "&gt;=01/06/2026", 'Histórico26'!$A:$A, "&lt;=30/06/2026"))</f>
        <v>0</v>
      </c>
      <c r="N23" s="16"/>
      <c r="O23" s="16">
        <f>IF(ISBLANK($A23), "", SUMIFS('Histórico26'!$C:$C, 'Histórico26'!$D:$D, $A23, 'Histórico26'!$A:$A, "&gt;=01/07/2026", 'Histórico26'!$A:$A, "&lt;=31/07/2026"))</f>
        <v>0</v>
      </c>
      <c r="P23" s="16"/>
      <c r="Q23" s="16">
        <f>IF(ISBLANK($A23), "", SUMIFS('Histórico26'!$C:$C, 'Histórico26'!$D:$D, $A23, 'Histórico26'!$A:$A, "&gt;=01/08/2025", 'Histórico26'!$A:$A, "&lt;=31/08/2025"))</f>
        <v>0</v>
      </c>
      <c r="R23" s="16"/>
      <c r="S23" s="16">
        <f>IF(ISBLANK($A23), "", SUMIFS('Histórico26'!$C:$C, 'Histórico26'!$D:$D, $A23, 'Histórico26'!$A:$A, "&gt;=01/09/2025", 'Histórico26'!$A:$A, "&lt;=31/09/2025"))</f>
        <v>0</v>
      </c>
      <c r="T23" s="16"/>
      <c r="U23" s="16">
        <f>IF(ISBLANK($A23), "", SUMIFS('Histórico26'!$C:$C, 'Histórico26'!$D:$D, $A23, 'Histórico26'!$A:$A, "&gt;=01/10/2025", 'Histórico26'!$A:$A, "&lt;=31/10/2025"))</f>
        <v>0</v>
      </c>
      <c r="V23" s="16"/>
      <c r="W23" s="16">
        <f>IF(ISBLANK($A23), "", SUMIFS('Histórico26'!$C:$C, 'Histórico26'!$D:$D, $A23, 'Histórico26'!$A:$A, "&gt;=01/11/2025", 'Histórico26'!$A:$A, "&lt;=30/11/2025"))</f>
        <v>0</v>
      </c>
      <c r="X23" s="16"/>
      <c r="Y23" s="16">
        <f>IF(ISBLANK($A23), "", SUMIFS('Histórico26'!$C:$C, 'Histórico26'!$D:$D, $A23, 'Histórico26'!$A:$A, "&gt;=01/12/2025", 'Histórico26'!$A:$A, "&lt;=31/12/2025"))</f>
        <v>0</v>
      </c>
      <c r="Z23" s="16">
        <f t="shared" si="10"/>
        <v>0</v>
      </c>
      <c r="AA23" s="17">
        <f t="shared" si="11"/>
        <v>0</v>
      </c>
    </row>
    <row r="24" ht="22.5" customHeight="1">
      <c r="A24" s="18" t="s">
        <v>49</v>
      </c>
      <c r="B24" s="19"/>
      <c r="C24" s="5">
        <f>IF(ISBLANK($A24), "", SUMIFS('Histórico26'!$C:$C, 'Histórico26'!$D:$D, $A24, 'Histórico26'!$A:$A, "&gt;=01/01/2026", 'Histórico26'!$A:$A, "&lt;=31/01/2026"))</f>
        <v>0</v>
      </c>
      <c r="D24" s="5"/>
      <c r="E24" s="5">
        <f>IF(ISBLANK($A24), "", SUMIFS('Histórico26'!$C:$C, 'Histórico26'!$D:$D, $A24, 'Histórico26'!$A:$A, "&gt;=01/02/2026", 'Histórico26'!$A:$A, "&lt;=28/02/2026"))</f>
        <v>0</v>
      </c>
      <c r="F24" s="5"/>
      <c r="G24" s="5">
        <f>IF(ISBLANK($A24), "", SUMIFS('Histórico26'!$C:$C, 'Histórico26'!$D:$D, $A24, 'Histórico26'!$A:$A, "&gt;=01/03/2026", 'Histórico26'!$A:$A, "&lt;=31/03/2026"))</f>
        <v>0</v>
      </c>
      <c r="H24" s="5"/>
      <c r="I24" s="5">
        <f>IF(ISBLANK($A24), "", SUMIFS('Histórico26'!$C:$C, 'Histórico26'!$D:$D, $A24, 'Histórico26'!$A:$A, "&gt;=01/04/2026", 'Histórico26'!$A:$A, "&lt;=30/04/2026"))</f>
        <v>0</v>
      </c>
      <c r="J24" s="5"/>
      <c r="K24" s="5">
        <f>IF(ISBLANK($A24), "", SUMIFS('Histórico26'!$C:$C, 'Histórico26'!$D:$D, $A24, 'Histórico26'!$A:$A, "&gt;=01/05/2026", 'Histórico26'!$A:$A, "&lt;=31/05/2026"))</f>
        <v>0</v>
      </c>
      <c r="L24" s="5"/>
      <c r="M24" s="5">
        <f>IF(ISBLANK($A24), "", SUMIFS('Histórico26'!$C:$C, 'Histórico26'!$D:$D, $A24, 'Histórico26'!$A:$A, "&gt;=01/06/2026", 'Histórico26'!$A:$A, "&lt;=30/06/2026"))</f>
        <v>0</v>
      </c>
      <c r="N24" s="5"/>
      <c r="O24" s="5">
        <f>IF(ISBLANK($A24), "", SUMIFS('Histórico26'!$C:$C, 'Histórico26'!$D:$D, $A24, 'Histórico26'!$A:$A, "&gt;=01/07/2026", 'Histórico26'!$A:$A, "&lt;=31/07/2026"))</f>
        <v>0</v>
      </c>
      <c r="P24" s="5"/>
      <c r="Q24" s="5">
        <f>IF(ISBLANK($A24), "", SUMIFS('Histórico26'!$C:$C, 'Histórico26'!$D:$D, $A24, 'Histórico26'!$A:$A, "&gt;=01/08/2025", 'Histórico26'!$A:$A, "&lt;=31/08/2025"))</f>
        <v>0</v>
      </c>
      <c r="R24" s="5"/>
      <c r="S24" s="5">
        <f>IF(ISBLANK($A24), "", SUMIFS('Histórico26'!$C:$C, 'Histórico26'!$D:$D, $A24, 'Histórico26'!$A:$A, "&gt;=01/09/2025", 'Histórico26'!$A:$A, "&lt;=31/09/2025"))</f>
        <v>0</v>
      </c>
      <c r="T24" s="5"/>
      <c r="U24" s="5">
        <f>IF(ISBLANK($A24), "", SUMIFS('Histórico26'!$C:$C, 'Histórico26'!$D:$D, $A24, 'Histórico26'!$A:$A, "&gt;=01/10/2025", 'Histórico26'!$A:$A, "&lt;=31/10/2025"))</f>
        <v>0</v>
      </c>
      <c r="V24" s="5"/>
      <c r="W24" s="5">
        <f>IF(ISBLANK($A24), "", SUMIFS('Histórico26'!$C:$C, 'Histórico26'!$D:$D, $A24, 'Histórico26'!$A:$A, "&gt;=01/11/2025", 'Histórico26'!$A:$A, "&lt;=30/11/2025"))</f>
        <v>0</v>
      </c>
      <c r="X24" s="5"/>
      <c r="Y24" s="5">
        <f>IF(ISBLANK($A24), "", SUMIFS('Histórico26'!$C:$C, 'Histórico26'!$D:$D, $A24, 'Histórico26'!$A:$A, "&gt;=01/12/2025", 'Histórico26'!$A:$A, "&lt;=31/12/2025"))</f>
        <v>0</v>
      </c>
      <c r="Z24" s="20">
        <f t="shared" si="10"/>
        <v>0</v>
      </c>
      <c r="AA24" s="6">
        <f t="shared" si="11"/>
        <v>0</v>
      </c>
    </row>
    <row r="25" ht="22.5" customHeight="1">
      <c r="A25" s="14" t="s">
        <v>50</v>
      </c>
      <c r="B25" s="15"/>
      <c r="C25" s="16">
        <f>IF(ISBLANK($A25), "", SUMIFS('Histórico26'!$C:$C, 'Histórico26'!$D:$D, $A25, 'Histórico26'!$A:$A, "&gt;=01/01/2026", 'Histórico26'!$A:$A, "&lt;=31/01/2026"))</f>
        <v>0</v>
      </c>
      <c r="D25" s="16"/>
      <c r="E25" s="16">
        <f>IF(ISBLANK($A25), "", SUMIFS('Histórico26'!$C:$C, 'Histórico26'!$D:$D, $A25, 'Histórico26'!$A:$A, "&gt;=01/02/2026", 'Histórico26'!$A:$A, "&lt;=28/02/2026"))</f>
        <v>0</v>
      </c>
      <c r="F25" s="16"/>
      <c r="G25" s="16">
        <f>IF(ISBLANK($A25), "", SUMIFS('Histórico26'!$C:$C, 'Histórico26'!$D:$D, $A25, 'Histórico26'!$A:$A, "&gt;=01/03/2026", 'Histórico26'!$A:$A, "&lt;=31/03/2026"))</f>
        <v>0</v>
      </c>
      <c r="H25" s="16"/>
      <c r="I25" s="16">
        <f>IF(ISBLANK($A25), "", SUMIFS('Histórico26'!$C:$C, 'Histórico26'!$D:$D, $A25, 'Histórico26'!$A:$A, "&gt;=01/04/2026", 'Histórico26'!$A:$A, "&lt;=30/04/2026"))</f>
        <v>0</v>
      </c>
      <c r="J25" s="16"/>
      <c r="K25" s="16">
        <f>IF(ISBLANK($A25), "", SUMIFS('Histórico26'!$C:$C, 'Histórico26'!$D:$D, $A25, 'Histórico26'!$A:$A, "&gt;=01/05/2026", 'Histórico26'!$A:$A, "&lt;=31/05/2026"))</f>
        <v>0</v>
      </c>
      <c r="L25" s="16"/>
      <c r="M25" s="16">
        <f>IF(ISBLANK($A25), "", SUMIFS('Histórico26'!$C:$C, 'Histórico26'!$D:$D, $A25, 'Histórico26'!$A:$A, "&gt;=01/06/2026", 'Histórico26'!$A:$A, "&lt;=30/06/2026"))</f>
        <v>0</v>
      </c>
      <c r="N25" s="16"/>
      <c r="O25" s="16">
        <f>IF(ISBLANK($A25), "", SUMIFS('Histórico26'!$C:$C, 'Histórico26'!$D:$D, $A25, 'Histórico26'!$A:$A, "&gt;=01/07/2026", 'Histórico26'!$A:$A, "&lt;=31/07/2026"))</f>
        <v>0</v>
      </c>
      <c r="P25" s="16"/>
      <c r="Q25" s="16">
        <f>IF(ISBLANK($A25), "", SUMIFS('Histórico26'!$C:$C, 'Histórico26'!$D:$D, $A25, 'Histórico26'!$A:$A, "&gt;=01/08/2025", 'Histórico26'!$A:$A, "&lt;=31/08/2025"))</f>
        <v>0</v>
      </c>
      <c r="R25" s="16"/>
      <c r="S25" s="16">
        <f>IF(ISBLANK($A25), "", SUMIFS('Histórico26'!$C:$C, 'Histórico26'!$D:$D, $A25, 'Histórico26'!$A:$A, "&gt;=01/09/2025", 'Histórico26'!$A:$A, "&lt;=31/09/2025"))</f>
        <v>0</v>
      </c>
      <c r="T25" s="16"/>
      <c r="U25" s="16">
        <f>IF(ISBLANK($A25), "", SUMIFS('Histórico26'!$C:$C, 'Histórico26'!$D:$D, $A25, 'Histórico26'!$A:$A, "&gt;=01/10/2025", 'Histórico26'!$A:$A, "&lt;=31/10/2025"))</f>
        <v>0</v>
      </c>
      <c r="V25" s="16"/>
      <c r="W25" s="16">
        <f>IF(ISBLANK($A25), "", SUMIFS('Histórico26'!$C:$C, 'Histórico26'!$D:$D, $A25, 'Histórico26'!$A:$A, "&gt;=01/11/2025", 'Histórico26'!$A:$A, "&lt;=30/11/2025"))</f>
        <v>0</v>
      </c>
      <c r="X25" s="16"/>
      <c r="Y25" s="16">
        <f>IF(ISBLANK($A25), "", SUMIFS('Histórico26'!$C:$C, 'Histórico26'!$D:$D, $A25, 'Histórico26'!$A:$A, "&gt;=01/12/2025", 'Histórico26'!$A:$A, "&lt;=31/12/2025"))</f>
        <v>0</v>
      </c>
      <c r="Z25" s="16">
        <f t="shared" si="10"/>
        <v>0</v>
      </c>
      <c r="AA25" s="17">
        <f t="shared" si="11"/>
        <v>0</v>
      </c>
    </row>
    <row r="26" ht="22.5" customHeight="1">
      <c r="A26" s="18" t="s">
        <v>51</v>
      </c>
      <c r="B26" s="19"/>
      <c r="C26" s="5">
        <f>IF(ISBLANK($A26), "", SUMIFS('Histórico26'!$C:$C, 'Histórico26'!$D:$D, $A26, 'Histórico26'!$A:$A, "&gt;=01/01/2026", 'Histórico26'!$A:$A, "&lt;=31/01/2026"))</f>
        <v>0</v>
      </c>
      <c r="D26" s="19"/>
      <c r="E26" s="5">
        <f>IF(ISBLANK($A26), "", SUMIFS('Histórico26'!$C:$C, 'Histórico26'!$D:$D, $A26, 'Histórico26'!$A:$A, "&gt;=01/02/2026", 'Histórico26'!$A:$A, "&lt;=28/02/2026"))</f>
        <v>0</v>
      </c>
      <c r="F26" s="19"/>
      <c r="G26" s="5">
        <f>IF(ISBLANK($A26), "", SUMIFS('Histórico26'!$C:$C, 'Histórico26'!$D:$D, $A26, 'Histórico26'!$A:$A, "&gt;=01/03/2026", 'Histórico26'!$A:$A, "&lt;=31/03/2026"))</f>
        <v>0</v>
      </c>
      <c r="H26" s="19"/>
      <c r="I26" s="5">
        <f>IF(ISBLANK($A26), "", SUMIFS('Histórico26'!$C:$C, 'Histórico26'!$D:$D, $A26, 'Histórico26'!$A:$A, "&gt;=01/04/2026", 'Histórico26'!$A:$A, "&lt;=30/04/2026"))</f>
        <v>0</v>
      </c>
      <c r="J26" s="19"/>
      <c r="K26" s="5">
        <f>IF(ISBLANK($A26), "", SUMIFS('Histórico26'!$C:$C, 'Histórico26'!$D:$D, $A26, 'Histórico26'!$A:$A, "&gt;=01/05/2026", 'Histórico26'!$A:$A, "&lt;=31/05/2026"))</f>
        <v>0</v>
      </c>
      <c r="L26" s="19"/>
      <c r="M26" s="5">
        <f>IF(ISBLANK($A26), "", SUMIFS('Histórico26'!$C:$C, 'Histórico26'!$D:$D, $A26, 'Histórico26'!$A:$A, "&gt;=01/06/2026", 'Histórico26'!$A:$A, "&lt;=30/06/2026"))</f>
        <v>0</v>
      </c>
      <c r="N26" s="19"/>
      <c r="O26" s="5">
        <f>IF(ISBLANK($A26), "", SUMIFS('Histórico26'!$C:$C, 'Histórico26'!$D:$D, $A26, 'Histórico26'!$A:$A, "&gt;=01/07/2026", 'Histórico26'!$A:$A, "&lt;=31/07/2026"))</f>
        <v>0</v>
      </c>
      <c r="P26" s="19"/>
      <c r="Q26" s="5">
        <f>IF(ISBLANK($A26), "", SUMIFS('Histórico26'!$C:$C, 'Histórico26'!$D:$D, $A26, 'Histórico26'!$A:$A, "&gt;=01/08/2025", 'Histórico26'!$A:$A, "&lt;=31/08/2025"))</f>
        <v>0</v>
      </c>
      <c r="R26" s="19"/>
      <c r="S26" s="5">
        <f>IF(ISBLANK($A26), "", SUMIFS('Histórico26'!$C:$C, 'Histórico26'!$D:$D, $A26, 'Histórico26'!$A:$A, "&gt;=01/09/2025", 'Histórico26'!$A:$A, "&lt;=31/09/2025"))</f>
        <v>0</v>
      </c>
      <c r="T26" s="19"/>
      <c r="U26" s="5">
        <f>IF(ISBLANK($A26), "", SUMIFS('Histórico26'!$C:$C, 'Histórico26'!$D:$D, $A26, 'Histórico26'!$A:$A, "&gt;=01/10/2025", 'Histórico26'!$A:$A, "&lt;=31/10/2025"))</f>
        <v>0</v>
      </c>
      <c r="V26" s="19"/>
      <c r="W26" s="5">
        <f>IF(ISBLANK($A26), "", SUMIFS('Histórico26'!$C:$C, 'Histórico26'!$D:$D, $A26, 'Histórico26'!$A:$A, "&gt;=01/11/2025", 'Histórico26'!$A:$A, "&lt;=30/11/2025"))</f>
        <v>0</v>
      </c>
      <c r="X26" s="19"/>
      <c r="Y26" s="5">
        <f>IF(ISBLANK($A26), "", SUMIFS('Histórico26'!$C:$C, 'Histórico26'!$D:$D, $A26, 'Histórico26'!$A:$A, "&gt;=01/12/2025", 'Histórico26'!$A:$A, "&lt;=31/12/2025"))</f>
        <v>0</v>
      </c>
      <c r="Z26" s="20">
        <f t="shared" si="10"/>
        <v>0</v>
      </c>
      <c r="AA26" s="6">
        <f t="shared" si="11"/>
        <v>0</v>
      </c>
    </row>
    <row r="27" ht="22.5" customHeight="1">
      <c r="A27" s="14" t="s">
        <v>52</v>
      </c>
      <c r="B27" s="15"/>
      <c r="C27" s="16">
        <f>IF(ISBLANK($A27), "", SUMIFS('Histórico26'!$C:$C, 'Histórico26'!$D:$D, $A27, 'Histórico26'!$A:$A, "&gt;=01/01/2026", 'Histórico26'!$A:$A, "&lt;=31/01/2026"))</f>
        <v>0</v>
      </c>
      <c r="D27" s="15"/>
      <c r="E27" s="16">
        <f>IF(ISBLANK($A27), "", SUMIFS('Histórico26'!$C:$C, 'Histórico26'!$D:$D, $A27, 'Histórico26'!$A:$A, "&gt;=01/02/2026", 'Histórico26'!$A:$A, "&lt;=28/02/2026"))</f>
        <v>0</v>
      </c>
      <c r="F27" s="15"/>
      <c r="G27" s="16">
        <f>IF(ISBLANK($A27), "", SUMIFS('Histórico26'!$C:$C, 'Histórico26'!$D:$D, $A27, 'Histórico26'!$A:$A, "&gt;=01/03/2026", 'Histórico26'!$A:$A, "&lt;=31/03/2026"))</f>
        <v>0</v>
      </c>
      <c r="H27" s="15"/>
      <c r="I27" s="16">
        <f>IF(ISBLANK($A27), "", SUMIFS('Histórico26'!$C:$C, 'Histórico26'!$D:$D, $A27, 'Histórico26'!$A:$A, "&gt;=01/04/2026", 'Histórico26'!$A:$A, "&lt;=30/04/2026"))</f>
        <v>0</v>
      </c>
      <c r="J27" s="15"/>
      <c r="K27" s="16">
        <f>IF(ISBLANK($A27), "", SUMIFS('Histórico26'!$C:$C, 'Histórico26'!$D:$D, $A27, 'Histórico26'!$A:$A, "&gt;=01/05/2026", 'Histórico26'!$A:$A, "&lt;=31/05/2026"))</f>
        <v>0</v>
      </c>
      <c r="L27" s="15"/>
      <c r="M27" s="16">
        <f>IF(ISBLANK($A27), "", SUMIFS('Histórico26'!$C:$C, 'Histórico26'!$D:$D, $A27, 'Histórico26'!$A:$A, "&gt;=01/06/2026", 'Histórico26'!$A:$A, "&lt;=30/06/2026"))</f>
        <v>0</v>
      </c>
      <c r="N27" s="15"/>
      <c r="O27" s="16">
        <f>IF(ISBLANK($A27), "", SUMIFS('Histórico26'!$C:$C, 'Histórico26'!$D:$D, $A27, 'Histórico26'!$A:$A, "&gt;=01/07/2026", 'Histórico26'!$A:$A, "&lt;=31/07/2026"))</f>
        <v>0</v>
      </c>
      <c r="P27" s="15"/>
      <c r="Q27" s="16">
        <f>IF(ISBLANK($A27), "", SUMIFS('Histórico26'!$C:$C, 'Histórico26'!$D:$D, $A27, 'Histórico26'!$A:$A, "&gt;=01/08/2025", 'Histórico26'!$A:$A, "&lt;=31/08/2025"))</f>
        <v>0</v>
      </c>
      <c r="R27" s="15"/>
      <c r="S27" s="16">
        <f>IF(ISBLANK($A27), "", SUMIFS('Histórico26'!$C:$C, 'Histórico26'!$D:$D, $A27, 'Histórico26'!$A:$A, "&gt;=01/09/2025", 'Histórico26'!$A:$A, "&lt;=31/09/2025"))</f>
        <v>0</v>
      </c>
      <c r="T27" s="15"/>
      <c r="U27" s="16">
        <f>IF(ISBLANK($A27), "", SUMIFS('Histórico26'!$C:$C, 'Histórico26'!$D:$D, $A27, 'Histórico26'!$A:$A, "&gt;=01/10/2025", 'Histórico26'!$A:$A, "&lt;=31/10/2025"))</f>
        <v>0</v>
      </c>
      <c r="V27" s="15"/>
      <c r="W27" s="16">
        <f>IF(ISBLANK($A27), "", SUMIFS('Histórico26'!$C:$C, 'Histórico26'!$D:$D, $A27, 'Histórico26'!$A:$A, "&gt;=01/11/2025", 'Histórico26'!$A:$A, "&lt;=30/11/2025"))</f>
        <v>0</v>
      </c>
      <c r="X27" s="15"/>
      <c r="Y27" s="16">
        <f>IF(ISBLANK($A27), "", SUMIFS('Histórico26'!$C:$C, 'Histórico26'!$D:$D, $A27, 'Histórico26'!$A:$A, "&gt;=01/12/2025", 'Histórico26'!$A:$A, "&lt;=31/12/2025"))</f>
        <v>0</v>
      </c>
      <c r="Z27" s="16">
        <f t="shared" si="10"/>
        <v>0</v>
      </c>
      <c r="AA27" s="17">
        <f t="shared" si="11"/>
        <v>0</v>
      </c>
    </row>
    <row r="28" ht="22.5" customHeight="1">
      <c r="A28" s="18" t="s">
        <v>53</v>
      </c>
      <c r="B28" s="19"/>
      <c r="C28" s="5">
        <f>IF(ISBLANK($A28), "", SUMIFS('Histórico26'!$C:$C, 'Histórico26'!$D:$D, $A28, 'Histórico26'!$A:$A, "&gt;=01/01/2026", 'Histórico26'!$A:$A, "&lt;=31/01/2026"))</f>
        <v>0</v>
      </c>
      <c r="D28" s="19"/>
      <c r="E28" s="5">
        <f>IF(ISBLANK($A28), "", SUMIFS('Histórico26'!$C:$C, 'Histórico26'!$D:$D, $A28, 'Histórico26'!$A:$A, "&gt;=01/02/2026", 'Histórico26'!$A:$A, "&lt;=28/02/2026"))</f>
        <v>0</v>
      </c>
      <c r="F28" s="19"/>
      <c r="G28" s="5">
        <f>IF(ISBLANK($A28), "", SUMIFS('Histórico26'!$C:$C, 'Histórico26'!$D:$D, $A28, 'Histórico26'!$A:$A, "&gt;=01/03/2026", 'Histórico26'!$A:$A, "&lt;=31/03/2026"))</f>
        <v>0</v>
      </c>
      <c r="H28" s="19"/>
      <c r="I28" s="5">
        <f>IF(ISBLANK($A28), "", SUMIFS('Histórico26'!$C:$C, 'Histórico26'!$D:$D, $A28, 'Histórico26'!$A:$A, "&gt;=01/04/2026", 'Histórico26'!$A:$A, "&lt;=30/04/2026"))</f>
        <v>0</v>
      </c>
      <c r="J28" s="19"/>
      <c r="K28" s="5">
        <f>IF(ISBLANK($A28), "", SUMIFS('Histórico26'!$C:$C, 'Histórico26'!$D:$D, $A28, 'Histórico26'!$A:$A, "&gt;=01/05/2026", 'Histórico26'!$A:$A, "&lt;=31/05/2026"))</f>
        <v>0</v>
      </c>
      <c r="L28" s="19"/>
      <c r="M28" s="5">
        <f>IF(ISBLANK($A28), "", SUMIFS('Histórico26'!$C:$C, 'Histórico26'!$D:$D, $A28, 'Histórico26'!$A:$A, "&gt;=01/06/2026", 'Histórico26'!$A:$A, "&lt;=30/06/2026"))</f>
        <v>0</v>
      </c>
      <c r="N28" s="19"/>
      <c r="O28" s="5">
        <f>IF(ISBLANK($A28), "", SUMIFS('Histórico26'!$C:$C, 'Histórico26'!$D:$D, $A28, 'Histórico26'!$A:$A, "&gt;=01/07/2026", 'Histórico26'!$A:$A, "&lt;=31/07/2026"))</f>
        <v>0</v>
      </c>
      <c r="P28" s="19"/>
      <c r="Q28" s="5">
        <f>IF(ISBLANK($A28), "", SUMIFS('Histórico26'!$C:$C, 'Histórico26'!$D:$D, $A28, 'Histórico26'!$A:$A, "&gt;=01/08/2025", 'Histórico26'!$A:$A, "&lt;=31/08/2025"))</f>
        <v>0</v>
      </c>
      <c r="R28" s="19"/>
      <c r="S28" s="5">
        <f>IF(ISBLANK($A28), "", SUMIFS('Histórico26'!$C:$C, 'Histórico26'!$D:$D, $A28, 'Histórico26'!$A:$A, "&gt;=01/09/2025", 'Histórico26'!$A:$A, "&lt;=31/09/2025"))</f>
        <v>0</v>
      </c>
      <c r="T28" s="19"/>
      <c r="U28" s="5">
        <f>IF(ISBLANK($A28), "", SUMIFS('Histórico26'!$C:$C, 'Histórico26'!$D:$D, $A28, 'Histórico26'!$A:$A, "&gt;=01/10/2025", 'Histórico26'!$A:$A, "&lt;=31/10/2025"))</f>
        <v>0</v>
      </c>
      <c r="V28" s="19"/>
      <c r="W28" s="5">
        <f>IF(ISBLANK($A28), "", SUMIFS('Histórico26'!$C:$C, 'Histórico26'!$D:$D, $A28, 'Histórico26'!$A:$A, "&gt;=01/11/2025", 'Histórico26'!$A:$A, "&lt;=30/11/2025"))</f>
        <v>0</v>
      </c>
      <c r="X28" s="19"/>
      <c r="Y28" s="5">
        <f>IF(ISBLANK($A28), "", SUMIFS('Histórico26'!$C:$C, 'Histórico26'!$D:$D, $A28, 'Histórico26'!$A:$A, "&gt;=01/12/2025", 'Histórico26'!$A:$A, "&lt;=31/12/2025"))</f>
        <v>0</v>
      </c>
      <c r="Z28" s="20">
        <f t="shared" si="10"/>
        <v>0</v>
      </c>
      <c r="AA28" s="6">
        <f t="shared" si="11"/>
        <v>0</v>
      </c>
    </row>
    <row r="29" ht="22.5" customHeight="1">
      <c r="A29" s="14" t="s">
        <v>54</v>
      </c>
      <c r="B29" s="15"/>
      <c r="C29" s="16">
        <f>IF(ISBLANK($A29), "", SUMIFS('Histórico26'!$C:$C, 'Histórico26'!$D:$D, $A29, 'Histórico26'!$A:$A, "&gt;=01/01/2026", 'Histórico26'!$A:$A, "&lt;=31/01/2026"))</f>
        <v>0</v>
      </c>
      <c r="D29" s="15"/>
      <c r="E29" s="16">
        <f>IF(ISBLANK($A29), "", SUMIFS('Histórico26'!$C:$C, 'Histórico26'!$D:$D, $A29, 'Histórico26'!$A:$A, "&gt;=01/02/2026", 'Histórico26'!$A:$A, "&lt;=28/02/2026"))</f>
        <v>0</v>
      </c>
      <c r="F29" s="15"/>
      <c r="G29" s="16">
        <f>IF(ISBLANK($A29), "", SUMIFS('Histórico26'!$C:$C, 'Histórico26'!$D:$D, $A29, 'Histórico26'!$A:$A, "&gt;=01/03/2026", 'Histórico26'!$A:$A, "&lt;=31/03/2026"))</f>
        <v>0</v>
      </c>
      <c r="H29" s="15"/>
      <c r="I29" s="16">
        <f>IF(ISBLANK($A29), "", SUMIFS('Histórico26'!$C:$C, 'Histórico26'!$D:$D, $A29, 'Histórico26'!$A:$A, "&gt;=01/04/2026", 'Histórico26'!$A:$A, "&lt;=30/04/2026"))</f>
        <v>0</v>
      </c>
      <c r="J29" s="15"/>
      <c r="K29" s="16">
        <f>IF(ISBLANK($A29), "", SUMIFS('Histórico26'!$C:$C, 'Histórico26'!$D:$D, $A29, 'Histórico26'!$A:$A, "&gt;=01/05/2026", 'Histórico26'!$A:$A, "&lt;=31/05/2026"))</f>
        <v>0</v>
      </c>
      <c r="L29" s="15"/>
      <c r="M29" s="16">
        <f>IF(ISBLANK($A29), "", SUMIFS('Histórico26'!$C:$C, 'Histórico26'!$D:$D, $A29, 'Histórico26'!$A:$A, "&gt;=01/06/2026", 'Histórico26'!$A:$A, "&lt;=30/06/2026"))</f>
        <v>0</v>
      </c>
      <c r="N29" s="15"/>
      <c r="O29" s="16">
        <f>IF(ISBLANK($A29), "", SUMIFS('Histórico26'!$C:$C, 'Histórico26'!$D:$D, $A29, 'Histórico26'!$A:$A, "&gt;=01/07/2026", 'Histórico26'!$A:$A, "&lt;=31/07/2026"))</f>
        <v>0</v>
      </c>
      <c r="P29" s="15"/>
      <c r="Q29" s="16">
        <f>IF(ISBLANK($A29), "", SUMIFS('Histórico26'!$C:$C, 'Histórico26'!$D:$D, $A29, 'Histórico26'!$A:$A, "&gt;=01/08/2025", 'Histórico26'!$A:$A, "&lt;=31/08/2025"))</f>
        <v>0</v>
      </c>
      <c r="R29" s="15"/>
      <c r="S29" s="16">
        <f>IF(ISBLANK($A29), "", SUMIFS('Histórico26'!$C:$C, 'Histórico26'!$D:$D, $A29, 'Histórico26'!$A:$A, "&gt;=01/09/2025", 'Histórico26'!$A:$A, "&lt;=31/09/2025"))</f>
        <v>0</v>
      </c>
      <c r="T29" s="15"/>
      <c r="U29" s="16">
        <f>IF(ISBLANK($A29), "", SUMIFS('Histórico26'!$C:$C, 'Histórico26'!$D:$D, $A29, 'Histórico26'!$A:$A, "&gt;=01/10/2025", 'Histórico26'!$A:$A, "&lt;=31/10/2025"))</f>
        <v>0</v>
      </c>
      <c r="V29" s="15"/>
      <c r="W29" s="16">
        <f>IF(ISBLANK($A29), "", SUMIFS('Histórico26'!$C:$C, 'Histórico26'!$D:$D, $A29, 'Histórico26'!$A:$A, "&gt;=01/11/2025", 'Histórico26'!$A:$A, "&lt;=30/11/2025"))</f>
        <v>0</v>
      </c>
      <c r="X29" s="15"/>
      <c r="Y29" s="16">
        <f>IF(ISBLANK($A29), "", SUMIFS('Histórico26'!$C:$C, 'Histórico26'!$D:$D, $A29, 'Histórico26'!$A:$A, "&gt;=01/12/2025", 'Histórico26'!$A:$A, "&lt;=31/12/2025"))</f>
        <v>0</v>
      </c>
      <c r="Z29" s="16">
        <f t="shared" si="10"/>
        <v>0</v>
      </c>
      <c r="AA29" s="17">
        <f t="shared" si="11"/>
        <v>0</v>
      </c>
    </row>
    <row r="30" ht="22.5" customHeight="1">
      <c r="A30" s="18" t="s">
        <v>55</v>
      </c>
      <c r="B30" s="19"/>
      <c r="C30" s="5">
        <f>IF(ISBLANK($A30), "", SUMIFS('Histórico26'!$C:$C, 'Histórico26'!$D:$D, $A30, 'Histórico26'!$A:$A, "&gt;=01/01/2026", 'Histórico26'!$A:$A, "&lt;=31/01/2026"))</f>
        <v>0</v>
      </c>
      <c r="D30" s="19"/>
      <c r="E30" s="5">
        <f>IF(ISBLANK($A30), "", SUMIFS('Histórico26'!$C:$C, 'Histórico26'!$D:$D, $A30, 'Histórico26'!$A:$A, "&gt;=01/02/2026", 'Histórico26'!$A:$A, "&lt;=28/02/2026"))</f>
        <v>0</v>
      </c>
      <c r="F30" s="19"/>
      <c r="G30" s="5">
        <f>IF(ISBLANK($A30), "", SUMIFS('Histórico26'!$C:$C, 'Histórico26'!$D:$D, $A30, 'Histórico26'!$A:$A, "&gt;=01/03/2026", 'Histórico26'!$A:$A, "&lt;=31/03/2026"))</f>
        <v>0</v>
      </c>
      <c r="H30" s="19"/>
      <c r="I30" s="5">
        <f>IF(ISBLANK($A30), "", SUMIFS('Histórico26'!$C:$C, 'Histórico26'!$D:$D, $A30, 'Histórico26'!$A:$A, "&gt;=01/04/2026", 'Histórico26'!$A:$A, "&lt;=30/04/2026"))</f>
        <v>0</v>
      </c>
      <c r="J30" s="19"/>
      <c r="K30" s="5">
        <f>IF(ISBLANK($A30), "", SUMIFS('Histórico26'!$C:$C, 'Histórico26'!$D:$D, $A30, 'Histórico26'!$A:$A, "&gt;=01/05/2026", 'Histórico26'!$A:$A, "&lt;=31/05/2026"))</f>
        <v>0</v>
      </c>
      <c r="L30" s="19"/>
      <c r="M30" s="5">
        <f>IF(ISBLANK($A30), "", SUMIFS('Histórico26'!$C:$C, 'Histórico26'!$D:$D, $A30, 'Histórico26'!$A:$A, "&gt;=01/06/2026", 'Histórico26'!$A:$A, "&lt;=30/06/2026"))</f>
        <v>0</v>
      </c>
      <c r="N30" s="19"/>
      <c r="O30" s="5">
        <f>IF(ISBLANK($A30), "", SUMIFS('Histórico26'!$C:$C, 'Histórico26'!$D:$D, $A30, 'Histórico26'!$A:$A, "&gt;=01/07/2026", 'Histórico26'!$A:$A, "&lt;=31/07/2026"))</f>
        <v>0</v>
      </c>
      <c r="P30" s="19"/>
      <c r="Q30" s="5">
        <f>IF(ISBLANK($A30), "", SUMIFS('Histórico26'!$C:$C, 'Histórico26'!$D:$D, $A30, 'Histórico26'!$A:$A, "&gt;=01/08/2025", 'Histórico26'!$A:$A, "&lt;=31/08/2025"))</f>
        <v>0</v>
      </c>
      <c r="R30" s="19"/>
      <c r="S30" s="5">
        <f>IF(ISBLANK($A30), "", SUMIFS('Histórico26'!$C:$C, 'Histórico26'!$D:$D, $A30, 'Histórico26'!$A:$A, "&gt;=01/09/2025", 'Histórico26'!$A:$A, "&lt;=31/09/2025"))</f>
        <v>0</v>
      </c>
      <c r="T30" s="19"/>
      <c r="U30" s="5">
        <f>IF(ISBLANK($A30), "", SUMIFS('Histórico26'!$C:$C, 'Histórico26'!$D:$D, $A30, 'Histórico26'!$A:$A, "&gt;=01/10/2025", 'Histórico26'!$A:$A, "&lt;=31/10/2025"))</f>
        <v>0</v>
      </c>
      <c r="V30" s="19"/>
      <c r="W30" s="5">
        <f>IF(ISBLANK($A30), "", SUMIFS('Histórico26'!$C:$C, 'Histórico26'!$D:$D, $A30, 'Histórico26'!$A:$A, "&gt;=01/11/2025", 'Histórico26'!$A:$A, "&lt;=30/11/2025"))</f>
        <v>0</v>
      </c>
      <c r="X30" s="19"/>
      <c r="Y30" s="5">
        <f>IF(ISBLANK($A30), "", SUMIFS('Histórico26'!$C:$C, 'Histórico26'!$D:$D, $A30, 'Histórico26'!$A:$A, "&gt;=01/12/2025", 'Histórico26'!$A:$A, "&lt;=31/12/2025"))</f>
        <v>0</v>
      </c>
      <c r="Z30" s="20">
        <f t="shared" si="10"/>
        <v>0</v>
      </c>
      <c r="AA30" s="6">
        <f t="shared" si="11"/>
        <v>0</v>
      </c>
    </row>
    <row r="31" ht="22.5" customHeight="1">
      <c r="A31" s="28" t="s">
        <v>56</v>
      </c>
      <c r="B31" s="29"/>
      <c r="C31" s="30">
        <f>IF(ISBLANK($A31), "", SUMIFS('Histórico26'!$C:$C, 'Histórico26'!$D:$D, $A31, 'Histórico26'!$A:$A, "&gt;=01/01/2026", 'Histórico26'!$A:$A, "&lt;=31/01/2026"))</f>
        <v>0</v>
      </c>
      <c r="D31" s="29"/>
      <c r="E31" s="30">
        <f>IF(ISBLANK($A31), "", SUMIFS('Histórico26'!$C:$C, 'Histórico26'!$D:$D, $A31, 'Histórico26'!$A:$A, "&gt;=01/02/2026", 'Histórico26'!$A:$A, "&lt;=28/02/2026")) + 1.31</f>
        <v>1.31</v>
      </c>
      <c r="F31" s="29"/>
      <c r="G31" s="30">
        <f>IF(ISBLANK($A31), "", SUMIFS('Histórico26'!$C:$C, 'Histórico26'!$D:$D, $A31, 'Histórico26'!$A:$A, "&gt;=01/03/2026", 'Histórico26'!$A:$A, "&lt;=31/03/2026"))</f>
        <v>0</v>
      </c>
      <c r="H31" s="29"/>
      <c r="I31" s="30">
        <f>IF(ISBLANK($A31), "", SUMIFS('Histórico26'!$C:$C, 'Histórico26'!$D:$D, $A31, 'Histórico26'!$A:$A, "&gt;=01/04/2026", 'Histórico26'!$A:$A, "&lt;=30/04/2026"))</f>
        <v>0</v>
      </c>
      <c r="J31" s="29"/>
      <c r="K31" s="30">
        <f>IF(ISBLANK($A31), "", SUMIFS('Histórico26'!$C:$C, 'Histórico26'!$D:$D, $A31, 'Histórico26'!$A:$A, "&gt;=01/05/2026", 'Histórico26'!$A:$A, "&lt;=31/05/2026"))</f>
        <v>0</v>
      </c>
      <c r="L31" s="29"/>
      <c r="M31" s="30">
        <f>IF(ISBLANK($A31), "", SUMIFS('Histórico26'!$C:$C, 'Histórico26'!$D:$D, $A31, 'Histórico26'!$A:$A, "&gt;=01/06/2026", 'Histórico26'!$A:$A, "&lt;=30/06/2026"))</f>
        <v>0</v>
      </c>
      <c r="N31" s="29"/>
      <c r="O31" s="30">
        <f>IF(ISBLANK($A31), "", SUMIFS('Histórico26'!$C:$C, 'Histórico26'!$D:$D, $A31, 'Histórico26'!$A:$A, "&gt;=01/07/2026", 'Histórico26'!$A:$A, "&lt;=31/07/2026"))</f>
        <v>0</v>
      </c>
      <c r="P31" s="29"/>
      <c r="Q31" s="30">
        <f>IF(ISBLANK($A31), "", SUMIFS('Histórico26'!$C:$C, 'Histórico26'!$D:$D, $A31, 'Histórico26'!$A:$A, "&gt;=01/08/2025", 'Histórico26'!$A:$A, "&lt;=31/08/2025"))</f>
        <v>0</v>
      </c>
      <c r="R31" s="29"/>
      <c r="S31" s="30">
        <f>IF(ISBLANK($A31), "", SUMIFS('Histórico26'!$C:$C, 'Histórico26'!$D:$D, $A31, 'Histórico26'!$A:$A, "&gt;=01/09/2025", 'Histórico26'!$A:$A, "&lt;=31/09/2025"))</f>
        <v>0</v>
      </c>
      <c r="T31" s="29"/>
      <c r="U31" s="30">
        <f>IF(ISBLANK($A31), "", SUMIFS('Histórico26'!$C:$C, 'Histórico26'!$D:$D, $A31, 'Histórico26'!$A:$A, "&gt;=01/10/2025", 'Histórico26'!$A:$A, "&lt;=31/10/2025"))</f>
        <v>0</v>
      </c>
      <c r="V31" s="29"/>
      <c r="W31" s="30">
        <f>IF(ISBLANK($A31), "", SUMIFS('Histórico26'!$C:$C, 'Histórico26'!$D:$D, $A31, 'Histórico26'!$A:$A, "&gt;=01/11/2025", 'Histórico26'!$A:$A, "&lt;=30/11/2025"))</f>
        <v>0</v>
      </c>
      <c r="X31" s="29"/>
      <c r="Y31" s="30">
        <f>IF(ISBLANK($A31), "", SUMIFS('Histórico26'!$C:$C, 'Histórico26'!$D:$D, $A31, 'Histórico26'!$A:$A, "&gt;=01/12/2025", 'Histórico26'!$A:$A, "&lt;=31/12/2025"))</f>
        <v>0</v>
      </c>
      <c r="Z31" s="31">
        <f t="shared" si="10"/>
        <v>0</v>
      </c>
      <c r="AA31" s="32">
        <f t="shared" si="11"/>
        <v>1.31</v>
      </c>
    </row>
    <row r="32" ht="15.75" customHeight="1">
      <c r="A32" s="33"/>
      <c r="B32" s="34"/>
      <c r="C32" s="34"/>
      <c r="D32" s="35"/>
      <c r="E32" s="34"/>
      <c r="F32" s="35"/>
      <c r="G32" s="34"/>
      <c r="H32" s="35"/>
      <c r="I32" s="35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3"/>
      <c r="B33" s="34"/>
      <c r="C33" s="34"/>
      <c r="D33" s="35"/>
      <c r="E33" s="34"/>
      <c r="F33" s="35"/>
      <c r="G33" s="34"/>
      <c r="H33" s="35"/>
      <c r="I33" s="3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3"/>
      <c r="B34" s="34"/>
      <c r="C34" s="34"/>
      <c r="D34" s="35"/>
      <c r="E34" s="34"/>
      <c r="F34" s="35"/>
      <c r="G34" s="34"/>
      <c r="H34" s="35"/>
      <c r="I34" s="35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3"/>
      <c r="B35" s="34"/>
      <c r="C35" s="34"/>
      <c r="D35" s="35"/>
      <c r="E35" s="34"/>
      <c r="F35" s="35"/>
      <c r="G35" s="34"/>
      <c r="H35" s="35"/>
      <c r="I35" s="35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3"/>
      <c r="B36" s="34"/>
      <c r="C36" s="34"/>
      <c r="D36" s="35"/>
      <c r="E36" s="34"/>
      <c r="F36" s="35"/>
      <c r="G36" s="34"/>
      <c r="H36" s="35"/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3"/>
      <c r="B37" s="34"/>
      <c r="C37" s="34"/>
      <c r="D37" s="35"/>
      <c r="E37" s="34"/>
      <c r="F37" s="35"/>
      <c r="G37" s="34"/>
      <c r="H37" s="35"/>
      <c r="I37" s="35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3"/>
      <c r="B38" s="34"/>
      <c r="C38" s="34"/>
      <c r="D38" s="35"/>
      <c r="E38" s="34"/>
      <c r="F38" s="35"/>
      <c r="G38" s="34"/>
      <c r="H38" s="35"/>
      <c r="I38" s="35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3"/>
      <c r="B39" s="34"/>
      <c r="C39" s="34"/>
      <c r="D39" s="35"/>
      <c r="E39" s="34"/>
      <c r="F39" s="35"/>
      <c r="G39" s="34"/>
      <c r="H39" s="35"/>
      <c r="I39" s="35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3"/>
      <c r="B40" s="34"/>
      <c r="C40" s="34"/>
      <c r="D40" s="35"/>
      <c r="E40" s="34"/>
      <c r="F40" s="35"/>
      <c r="G40" s="34"/>
      <c r="H40" s="35"/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3"/>
      <c r="B41" s="34"/>
      <c r="C41" s="34"/>
      <c r="D41" s="35"/>
      <c r="E41" s="34"/>
      <c r="F41" s="35"/>
      <c r="G41" s="34"/>
      <c r="H41" s="35"/>
      <c r="I41" s="35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3"/>
      <c r="B42" s="34"/>
      <c r="C42" s="34"/>
      <c r="D42" s="35"/>
      <c r="E42" s="34"/>
      <c r="F42" s="35"/>
      <c r="G42" s="34"/>
      <c r="H42" s="35"/>
      <c r="I42" s="35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3"/>
      <c r="B43" s="34"/>
      <c r="C43" s="34"/>
      <c r="D43" s="35"/>
      <c r="E43" s="34"/>
      <c r="F43" s="35"/>
      <c r="G43" s="34"/>
      <c r="H43" s="35"/>
      <c r="I43" s="35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3"/>
      <c r="B44" s="34"/>
      <c r="C44" s="34"/>
      <c r="D44" s="35"/>
      <c r="E44" s="34"/>
      <c r="F44" s="35"/>
      <c r="G44" s="34"/>
      <c r="H44" s="35"/>
      <c r="I44" s="35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3"/>
      <c r="B45" s="34"/>
      <c r="C45" s="34"/>
      <c r="D45" s="35"/>
      <c r="E45" s="34"/>
      <c r="F45" s="35"/>
      <c r="G45" s="34"/>
      <c r="H45" s="35"/>
      <c r="I45" s="35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3"/>
      <c r="B46" s="34"/>
      <c r="C46" s="34"/>
      <c r="D46" s="35"/>
      <c r="E46" s="34"/>
      <c r="F46" s="35"/>
      <c r="G46" s="34"/>
      <c r="H46" s="35"/>
      <c r="I46" s="35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3"/>
      <c r="B47" s="34"/>
      <c r="C47" s="34"/>
      <c r="D47" s="35"/>
      <c r="E47" s="34"/>
      <c r="F47" s="35"/>
      <c r="G47" s="34"/>
      <c r="H47" s="35"/>
      <c r="I47" s="35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3"/>
      <c r="B48" s="34"/>
      <c r="C48" s="34"/>
      <c r="D48" s="35"/>
      <c r="E48" s="34"/>
      <c r="F48" s="35"/>
      <c r="G48" s="34"/>
      <c r="H48" s="35"/>
      <c r="I48" s="35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3"/>
      <c r="B49" s="34"/>
      <c r="C49" s="34"/>
      <c r="D49" s="35"/>
      <c r="E49" s="34"/>
      <c r="F49" s="35"/>
      <c r="G49" s="34"/>
      <c r="H49" s="35"/>
      <c r="I49" s="35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3"/>
      <c r="B50" s="34"/>
      <c r="C50" s="34"/>
      <c r="D50" s="35"/>
      <c r="E50" s="34"/>
      <c r="F50" s="35"/>
      <c r="G50" s="34"/>
      <c r="H50" s="35"/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3"/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3"/>
      <c r="B52" s="34"/>
      <c r="C52" s="34"/>
      <c r="D52" s="35"/>
      <c r="E52" s="34"/>
      <c r="F52" s="35"/>
      <c r="G52" s="34"/>
      <c r="H52" s="35"/>
      <c r="I52" s="35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3"/>
      <c r="B53" s="34"/>
      <c r="C53" s="34"/>
      <c r="D53" s="35"/>
      <c r="E53" s="34"/>
      <c r="F53" s="35"/>
      <c r="G53" s="34"/>
      <c r="H53" s="35"/>
      <c r="I53" s="3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3"/>
      <c r="B54" s="34"/>
      <c r="C54" s="34"/>
      <c r="D54" s="35"/>
      <c r="E54" s="34"/>
      <c r="F54" s="35"/>
      <c r="G54" s="34"/>
      <c r="H54" s="35"/>
      <c r="I54" s="35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3"/>
      <c r="B55" s="34"/>
      <c r="C55" s="34"/>
      <c r="D55" s="35"/>
      <c r="E55" s="34"/>
      <c r="F55" s="35"/>
      <c r="G55" s="34"/>
      <c r="H55" s="35"/>
      <c r="I55" s="35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3"/>
      <c r="B56" s="34"/>
      <c r="C56" s="34"/>
      <c r="D56" s="35"/>
      <c r="E56" s="34"/>
      <c r="F56" s="35"/>
      <c r="G56" s="34"/>
      <c r="H56" s="35"/>
      <c r="I56" s="35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3"/>
      <c r="B57" s="34"/>
      <c r="C57" s="34"/>
      <c r="D57" s="35"/>
      <c r="E57" s="34"/>
      <c r="F57" s="35"/>
      <c r="G57" s="34"/>
      <c r="H57" s="35"/>
      <c r="I57" s="35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3"/>
      <c r="B58" s="34"/>
      <c r="C58" s="34"/>
      <c r="D58" s="35"/>
      <c r="E58" s="34"/>
      <c r="F58" s="35"/>
      <c r="G58" s="34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3"/>
      <c r="B59" s="34"/>
      <c r="C59" s="34"/>
      <c r="D59" s="35"/>
      <c r="E59" s="34"/>
      <c r="F59" s="35"/>
      <c r="G59" s="34"/>
      <c r="H59" s="35"/>
      <c r="I59" s="35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3"/>
      <c r="B60" s="34"/>
      <c r="C60" s="34"/>
      <c r="D60" s="35"/>
      <c r="E60" s="34"/>
      <c r="F60" s="35"/>
      <c r="G60" s="34"/>
      <c r="H60" s="35"/>
      <c r="I60" s="35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3"/>
      <c r="B61" s="34"/>
      <c r="C61" s="34"/>
      <c r="D61" s="35"/>
      <c r="E61" s="34"/>
      <c r="F61" s="35"/>
      <c r="G61" s="34"/>
      <c r="H61" s="35"/>
      <c r="I61" s="35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3"/>
      <c r="B62" s="34"/>
      <c r="C62" s="34"/>
      <c r="D62" s="35"/>
      <c r="E62" s="34"/>
      <c r="F62" s="35"/>
      <c r="G62" s="34"/>
      <c r="H62" s="35"/>
      <c r="I62" s="35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3"/>
      <c r="B63" s="34"/>
      <c r="C63" s="34"/>
      <c r="D63" s="35"/>
      <c r="E63" s="34"/>
      <c r="F63" s="35"/>
      <c r="G63" s="34"/>
      <c r="H63" s="35"/>
      <c r="I63" s="35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3"/>
      <c r="B64" s="34"/>
      <c r="C64" s="34"/>
      <c r="D64" s="35"/>
      <c r="E64" s="34"/>
      <c r="F64" s="35"/>
      <c r="G64" s="34"/>
      <c r="H64" s="35"/>
      <c r="I64" s="35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3"/>
      <c r="B65" s="34"/>
      <c r="C65" s="34"/>
      <c r="D65" s="35"/>
      <c r="E65" s="34"/>
      <c r="F65" s="35"/>
      <c r="G65" s="34"/>
      <c r="H65" s="35"/>
      <c r="I65" s="35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3"/>
      <c r="B66" s="34"/>
      <c r="C66" s="34"/>
      <c r="D66" s="35"/>
      <c r="E66" s="34"/>
      <c r="F66" s="35"/>
      <c r="G66" s="34"/>
      <c r="H66" s="35"/>
      <c r="I66" s="35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3"/>
      <c r="B67" s="34"/>
      <c r="C67" s="34"/>
      <c r="D67" s="35"/>
      <c r="E67" s="34"/>
      <c r="F67" s="35"/>
      <c r="G67" s="34"/>
      <c r="H67" s="35"/>
      <c r="I67" s="35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3"/>
      <c r="B68" s="34"/>
      <c r="C68" s="34"/>
      <c r="D68" s="35"/>
      <c r="E68" s="34"/>
      <c r="F68" s="35"/>
      <c r="G68" s="34"/>
      <c r="H68" s="35"/>
      <c r="I68" s="35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3"/>
      <c r="B69" s="34"/>
      <c r="C69" s="34"/>
      <c r="D69" s="35"/>
      <c r="E69" s="34"/>
      <c r="F69" s="35"/>
      <c r="G69" s="34"/>
      <c r="H69" s="35"/>
      <c r="I69" s="35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3"/>
      <c r="B70" s="34"/>
      <c r="C70" s="34"/>
      <c r="D70" s="35"/>
      <c r="E70" s="34"/>
      <c r="F70" s="35"/>
      <c r="G70" s="34"/>
      <c r="H70" s="35"/>
      <c r="I70" s="35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3"/>
      <c r="B71" s="34"/>
      <c r="C71" s="34"/>
      <c r="D71" s="35"/>
      <c r="E71" s="34"/>
      <c r="F71" s="35"/>
      <c r="G71" s="34"/>
      <c r="H71" s="35"/>
      <c r="I71" s="35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3"/>
      <c r="B72" s="34"/>
      <c r="C72" s="34"/>
      <c r="D72" s="35"/>
      <c r="E72" s="34"/>
      <c r="F72" s="35"/>
      <c r="G72" s="34"/>
      <c r="H72" s="35"/>
      <c r="I72" s="35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3"/>
      <c r="B73" s="34"/>
      <c r="C73" s="34"/>
      <c r="D73" s="35"/>
      <c r="E73" s="34"/>
      <c r="F73" s="35"/>
      <c r="G73" s="34"/>
      <c r="H73" s="35"/>
      <c r="I73" s="35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3"/>
      <c r="B74" s="34"/>
      <c r="C74" s="34"/>
      <c r="D74" s="35"/>
      <c r="E74" s="34"/>
      <c r="F74" s="35"/>
      <c r="G74" s="34"/>
      <c r="H74" s="35"/>
      <c r="I74" s="35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3"/>
      <c r="B75" s="34"/>
      <c r="C75" s="34"/>
      <c r="D75" s="35"/>
      <c r="E75" s="34"/>
      <c r="F75" s="35"/>
      <c r="G75" s="34"/>
      <c r="H75" s="35"/>
      <c r="I75" s="35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3"/>
      <c r="B76" s="34"/>
      <c r="C76" s="34"/>
      <c r="D76" s="35"/>
      <c r="E76" s="34"/>
      <c r="F76" s="35"/>
      <c r="G76" s="34"/>
      <c r="H76" s="35"/>
      <c r="I76" s="35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3"/>
      <c r="B77" s="34"/>
      <c r="C77" s="34"/>
      <c r="D77" s="35"/>
      <c r="E77" s="34"/>
      <c r="F77" s="35"/>
      <c r="G77" s="34"/>
      <c r="H77" s="35"/>
      <c r="I77" s="35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3"/>
      <c r="B78" s="34"/>
      <c r="C78" s="34"/>
      <c r="D78" s="35"/>
      <c r="E78" s="34"/>
      <c r="F78" s="35"/>
      <c r="G78" s="34"/>
      <c r="H78" s="35"/>
      <c r="I78" s="35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3"/>
      <c r="B79" s="34"/>
      <c r="C79" s="34"/>
      <c r="D79" s="35"/>
      <c r="E79" s="34"/>
      <c r="F79" s="35"/>
      <c r="G79" s="34"/>
      <c r="H79" s="35"/>
      <c r="I79" s="35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3"/>
      <c r="B80" s="34"/>
      <c r="C80" s="34"/>
      <c r="D80" s="35"/>
      <c r="E80" s="34"/>
      <c r="F80" s="35"/>
      <c r="G80" s="34"/>
      <c r="H80" s="35"/>
      <c r="I80" s="35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3"/>
      <c r="B81" s="34"/>
      <c r="C81" s="34"/>
      <c r="D81" s="35"/>
      <c r="E81" s="34"/>
      <c r="F81" s="35"/>
      <c r="G81" s="34"/>
      <c r="H81" s="35"/>
      <c r="I81" s="35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3"/>
      <c r="B82" s="34"/>
      <c r="C82" s="34"/>
      <c r="D82" s="35"/>
      <c r="E82" s="34"/>
      <c r="F82" s="35"/>
      <c r="G82" s="34"/>
      <c r="H82" s="35"/>
      <c r="I82" s="35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3"/>
      <c r="B83" s="34"/>
      <c r="C83" s="34"/>
      <c r="D83" s="35"/>
      <c r="E83" s="34"/>
      <c r="F83" s="35"/>
      <c r="G83" s="34"/>
      <c r="H83" s="35"/>
      <c r="I83" s="35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3"/>
      <c r="B84" s="34"/>
      <c r="C84" s="34"/>
      <c r="D84" s="35"/>
      <c r="E84" s="34"/>
      <c r="F84" s="35"/>
      <c r="G84" s="34"/>
      <c r="H84" s="35"/>
      <c r="I84" s="35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3"/>
      <c r="B85" s="34"/>
      <c r="C85" s="34"/>
      <c r="D85" s="35"/>
      <c r="E85" s="34"/>
      <c r="F85" s="35"/>
      <c r="G85" s="34"/>
      <c r="H85" s="35"/>
      <c r="I85" s="35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3"/>
      <c r="B86" s="34"/>
      <c r="C86" s="34"/>
      <c r="D86" s="35"/>
      <c r="E86" s="34"/>
      <c r="F86" s="35"/>
      <c r="G86" s="34"/>
      <c r="H86" s="35"/>
      <c r="I86" s="35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3"/>
      <c r="B87" s="34"/>
      <c r="C87" s="34"/>
      <c r="D87" s="35"/>
      <c r="E87" s="34"/>
      <c r="F87" s="35"/>
      <c r="G87" s="34"/>
      <c r="H87" s="35"/>
      <c r="I87" s="35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3"/>
      <c r="B88" s="34"/>
      <c r="C88" s="34"/>
      <c r="D88" s="35"/>
      <c r="E88" s="34"/>
      <c r="F88" s="35"/>
      <c r="G88" s="34"/>
      <c r="H88" s="35"/>
      <c r="I88" s="35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3"/>
      <c r="B89" s="34"/>
      <c r="C89" s="34"/>
      <c r="D89" s="35"/>
      <c r="E89" s="34"/>
      <c r="F89" s="35"/>
      <c r="G89" s="34"/>
      <c r="H89" s="35"/>
      <c r="I89" s="35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3"/>
      <c r="B90" s="34"/>
      <c r="C90" s="34"/>
      <c r="D90" s="35"/>
      <c r="E90" s="34"/>
      <c r="F90" s="35"/>
      <c r="G90" s="34"/>
      <c r="H90" s="35"/>
      <c r="I90" s="35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3"/>
      <c r="B91" s="34"/>
      <c r="C91" s="34"/>
      <c r="D91" s="35"/>
      <c r="E91" s="34"/>
      <c r="F91" s="35"/>
      <c r="G91" s="34"/>
      <c r="H91" s="35"/>
      <c r="I91" s="35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3"/>
      <c r="B92" s="34"/>
      <c r="C92" s="34"/>
      <c r="D92" s="35"/>
      <c r="E92" s="34"/>
      <c r="F92" s="35"/>
      <c r="G92" s="34"/>
      <c r="H92" s="35"/>
      <c r="I92" s="35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3"/>
      <c r="B93" s="34"/>
      <c r="C93" s="34"/>
      <c r="D93" s="35"/>
      <c r="E93" s="34"/>
      <c r="F93" s="35"/>
      <c r="G93" s="34"/>
      <c r="H93" s="35"/>
      <c r="I93" s="35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3"/>
      <c r="B94" s="34"/>
      <c r="C94" s="34"/>
      <c r="D94" s="35"/>
      <c r="E94" s="34"/>
      <c r="F94" s="35"/>
      <c r="G94" s="34"/>
      <c r="H94" s="35"/>
      <c r="I94" s="35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3"/>
      <c r="B95" s="34"/>
      <c r="C95" s="34"/>
      <c r="D95" s="35"/>
      <c r="E95" s="34"/>
      <c r="F95" s="35"/>
      <c r="G95" s="34"/>
      <c r="H95" s="35"/>
      <c r="I95" s="35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3"/>
      <c r="B96" s="34"/>
      <c r="C96" s="34"/>
      <c r="D96" s="35"/>
      <c r="E96" s="34"/>
      <c r="F96" s="35"/>
      <c r="G96" s="34"/>
      <c r="H96" s="35"/>
      <c r="I96" s="35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3"/>
      <c r="B97" s="34"/>
      <c r="C97" s="34"/>
      <c r="D97" s="35"/>
      <c r="E97" s="34"/>
      <c r="F97" s="35"/>
      <c r="G97" s="34"/>
      <c r="H97" s="35"/>
      <c r="I97" s="35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3"/>
      <c r="B98" s="34"/>
      <c r="C98" s="34"/>
      <c r="D98" s="35"/>
      <c r="E98" s="34"/>
      <c r="F98" s="35"/>
      <c r="G98" s="34"/>
      <c r="H98" s="35"/>
      <c r="I98" s="35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3"/>
      <c r="B99" s="34"/>
      <c r="C99" s="34"/>
      <c r="D99" s="35"/>
      <c r="E99" s="34"/>
      <c r="F99" s="35"/>
      <c r="G99" s="34"/>
      <c r="H99" s="35"/>
      <c r="I99" s="35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3"/>
      <c r="B100" s="34"/>
      <c r="C100" s="34"/>
      <c r="D100" s="35"/>
      <c r="E100" s="34"/>
      <c r="F100" s="35"/>
      <c r="G100" s="34"/>
      <c r="H100" s="35"/>
      <c r="I100" s="35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3"/>
      <c r="B101" s="34"/>
      <c r="C101" s="34"/>
      <c r="D101" s="35"/>
      <c r="E101" s="34"/>
      <c r="F101" s="35"/>
      <c r="G101" s="34"/>
      <c r="H101" s="35"/>
      <c r="I101" s="35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3"/>
      <c r="B102" s="34"/>
      <c r="C102" s="34"/>
      <c r="D102" s="35"/>
      <c r="E102" s="34"/>
      <c r="F102" s="35"/>
      <c r="G102" s="34"/>
      <c r="H102" s="35"/>
      <c r="I102" s="35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3"/>
      <c r="B103" s="34"/>
      <c r="C103" s="34"/>
      <c r="D103" s="35"/>
      <c r="E103" s="34"/>
      <c r="F103" s="35"/>
      <c r="G103" s="34"/>
      <c r="H103" s="35"/>
      <c r="I103" s="35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3"/>
      <c r="B104" s="34"/>
      <c r="C104" s="34"/>
      <c r="D104" s="35"/>
      <c r="E104" s="34"/>
      <c r="F104" s="35"/>
      <c r="G104" s="34"/>
      <c r="H104" s="35"/>
      <c r="I104" s="35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3"/>
      <c r="B105" s="34"/>
      <c r="C105" s="34"/>
      <c r="D105" s="35"/>
      <c r="E105" s="34"/>
      <c r="F105" s="35"/>
      <c r="G105" s="34"/>
      <c r="H105" s="35"/>
      <c r="I105" s="35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3"/>
      <c r="B106" s="34"/>
      <c r="C106" s="34"/>
      <c r="D106" s="35"/>
      <c r="E106" s="34"/>
      <c r="F106" s="35"/>
      <c r="G106" s="34"/>
      <c r="H106" s="35"/>
      <c r="I106" s="35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3"/>
      <c r="B107" s="34"/>
      <c r="C107" s="34"/>
      <c r="D107" s="35"/>
      <c r="E107" s="34"/>
      <c r="F107" s="35"/>
      <c r="G107" s="34"/>
      <c r="H107" s="35"/>
      <c r="I107" s="35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3"/>
      <c r="B108" s="34"/>
      <c r="C108" s="34"/>
      <c r="D108" s="35"/>
      <c r="E108" s="34"/>
      <c r="F108" s="35"/>
      <c r="G108" s="34"/>
      <c r="H108" s="35"/>
      <c r="I108" s="35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3"/>
      <c r="B109" s="34"/>
      <c r="C109" s="34"/>
      <c r="D109" s="35"/>
      <c r="E109" s="34"/>
      <c r="F109" s="35"/>
      <c r="G109" s="34"/>
      <c r="H109" s="35"/>
      <c r="I109" s="35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3"/>
      <c r="B110" s="34"/>
      <c r="C110" s="34"/>
      <c r="D110" s="35"/>
      <c r="E110" s="34"/>
      <c r="F110" s="35"/>
      <c r="G110" s="34"/>
      <c r="H110" s="35"/>
      <c r="I110" s="35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3"/>
      <c r="B111" s="34"/>
      <c r="C111" s="34"/>
      <c r="D111" s="35"/>
      <c r="E111" s="34"/>
      <c r="F111" s="35"/>
      <c r="G111" s="34"/>
      <c r="H111" s="35"/>
      <c r="I111" s="35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3"/>
      <c r="B112" s="34"/>
      <c r="C112" s="34"/>
      <c r="D112" s="35"/>
      <c r="E112" s="34"/>
      <c r="F112" s="35"/>
      <c r="G112" s="34"/>
      <c r="H112" s="35"/>
      <c r="I112" s="35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3"/>
      <c r="B113" s="34"/>
      <c r="C113" s="34"/>
      <c r="D113" s="35"/>
      <c r="E113" s="34"/>
      <c r="F113" s="35"/>
      <c r="G113" s="34"/>
      <c r="H113" s="35"/>
      <c r="I113" s="35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3"/>
      <c r="B114" s="34"/>
      <c r="C114" s="34"/>
      <c r="D114" s="35"/>
      <c r="E114" s="34"/>
      <c r="F114" s="35"/>
      <c r="G114" s="34"/>
      <c r="H114" s="35"/>
      <c r="I114" s="35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3"/>
      <c r="B115" s="34"/>
      <c r="C115" s="34"/>
      <c r="D115" s="35"/>
      <c r="E115" s="34"/>
      <c r="F115" s="35"/>
      <c r="G115" s="34"/>
      <c r="H115" s="35"/>
      <c r="I115" s="35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3"/>
      <c r="B116" s="34"/>
      <c r="C116" s="34"/>
      <c r="D116" s="35"/>
      <c r="E116" s="34"/>
      <c r="F116" s="35"/>
      <c r="G116" s="34"/>
      <c r="H116" s="35"/>
      <c r="I116" s="35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3"/>
      <c r="B117" s="34"/>
      <c r="C117" s="34"/>
      <c r="D117" s="35"/>
      <c r="E117" s="34"/>
      <c r="F117" s="35"/>
      <c r="G117" s="34"/>
      <c r="H117" s="35"/>
      <c r="I117" s="35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3"/>
      <c r="B118" s="34"/>
      <c r="C118" s="34"/>
      <c r="D118" s="35"/>
      <c r="E118" s="34"/>
      <c r="F118" s="35"/>
      <c r="G118" s="34"/>
      <c r="H118" s="35"/>
      <c r="I118" s="35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3"/>
      <c r="B119" s="34"/>
      <c r="C119" s="34"/>
      <c r="D119" s="35"/>
      <c r="E119" s="34"/>
      <c r="F119" s="35"/>
      <c r="G119" s="34"/>
      <c r="H119" s="35"/>
      <c r="I119" s="35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3"/>
      <c r="B120" s="34"/>
      <c r="C120" s="34"/>
      <c r="D120" s="35"/>
      <c r="E120" s="34"/>
      <c r="F120" s="35"/>
      <c r="G120" s="34"/>
      <c r="H120" s="35"/>
      <c r="I120" s="35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3"/>
      <c r="B121" s="34"/>
      <c r="C121" s="34"/>
      <c r="D121" s="35"/>
      <c r="E121" s="34"/>
      <c r="F121" s="35"/>
      <c r="G121" s="34"/>
      <c r="H121" s="35"/>
      <c r="I121" s="35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3"/>
      <c r="B122" s="34"/>
      <c r="C122" s="34"/>
      <c r="D122" s="35"/>
      <c r="E122" s="34"/>
      <c r="F122" s="35"/>
      <c r="G122" s="34"/>
      <c r="H122" s="35"/>
      <c r="I122" s="35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3"/>
      <c r="B123" s="34"/>
      <c r="C123" s="34"/>
      <c r="D123" s="35"/>
      <c r="E123" s="34"/>
      <c r="F123" s="35"/>
      <c r="G123" s="34"/>
      <c r="H123" s="35"/>
      <c r="I123" s="35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3"/>
      <c r="B124" s="34"/>
      <c r="C124" s="34"/>
      <c r="D124" s="35"/>
      <c r="E124" s="34"/>
      <c r="F124" s="35"/>
      <c r="G124" s="34"/>
      <c r="H124" s="35"/>
      <c r="I124" s="35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3"/>
      <c r="B125" s="34"/>
      <c r="C125" s="34"/>
      <c r="D125" s="35"/>
      <c r="E125" s="34"/>
      <c r="F125" s="35"/>
      <c r="G125" s="34"/>
      <c r="H125" s="35"/>
      <c r="I125" s="35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3"/>
      <c r="B126" s="34"/>
      <c r="C126" s="34"/>
      <c r="D126" s="35"/>
      <c r="E126" s="34"/>
      <c r="F126" s="35"/>
      <c r="G126" s="34"/>
      <c r="H126" s="35"/>
      <c r="I126" s="35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3"/>
      <c r="B127" s="34"/>
      <c r="C127" s="34"/>
      <c r="D127" s="35"/>
      <c r="E127" s="34"/>
      <c r="F127" s="35"/>
      <c r="G127" s="34"/>
      <c r="H127" s="35"/>
      <c r="I127" s="35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3"/>
      <c r="B128" s="34"/>
      <c r="C128" s="34"/>
      <c r="D128" s="35"/>
      <c r="E128" s="34"/>
      <c r="F128" s="35"/>
      <c r="G128" s="34"/>
      <c r="H128" s="35"/>
      <c r="I128" s="35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3"/>
      <c r="B129" s="34"/>
      <c r="C129" s="34"/>
      <c r="D129" s="35"/>
      <c r="E129" s="34"/>
      <c r="F129" s="35"/>
      <c r="G129" s="34"/>
      <c r="H129" s="35"/>
      <c r="I129" s="35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3"/>
      <c r="B130" s="34"/>
      <c r="C130" s="34"/>
      <c r="D130" s="35"/>
      <c r="E130" s="34"/>
      <c r="F130" s="35"/>
      <c r="G130" s="34"/>
      <c r="H130" s="35"/>
      <c r="I130" s="35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3"/>
      <c r="B131" s="34"/>
      <c r="C131" s="34"/>
      <c r="D131" s="35"/>
      <c r="E131" s="34"/>
      <c r="F131" s="35"/>
      <c r="G131" s="34"/>
      <c r="H131" s="35"/>
      <c r="I131" s="35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3"/>
      <c r="B132" s="34"/>
      <c r="C132" s="34"/>
      <c r="D132" s="35"/>
      <c r="E132" s="34"/>
      <c r="F132" s="35"/>
      <c r="G132" s="34"/>
      <c r="H132" s="35"/>
      <c r="I132" s="35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3"/>
      <c r="B133" s="34"/>
      <c r="C133" s="34"/>
      <c r="D133" s="35"/>
      <c r="E133" s="34"/>
      <c r="F133" s="35"/>
      <c r="G133" s="34"/>
      <c r="H133" s="35"/>
      <c r="I133" s="35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3"/>
      <c r="B134" s="34"/>
      <c r="C134" s="34"/>
      <c r="D134" s="35"/>
      <c r="E134" s="34"/>
      <c r="F134" s="35"/>
      <c r="G134" s="34"/>
      <c r="H134" s="35"/>
      <c r="I134" s="35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3"/>
      <c r="B135" s="34"/>
      <c r="C135" s="34"/>
      <c r="D135" s="35"/>
      <c r="E135" s="34"/>
      <c r="F135" s="35"/>
      <c r="G135" s="34"/>
      <c r="H135" s="35"/>
      <c r="I135" s="35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3"/>
      <c r="B136" s="34"/>
      <c r="C136" s="34"/>
      <c r="D136" s="35"/>
      <c r="E136" s="34"/>
      <c r="F136" s="35"/>
      <c r="G136" s="34"/>
      <c r="H136" s="35"/>
      <c r="I136" s="35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3"/>
      <c r="B137" s="34"/>
      <c r="C137" s="34"/>
      <c r="D137" s="35"/>
      <c r="E137" s="34"/>
      <c r="F137" s="35"/>
      <c r="G137" s="34"/>
      <c r="H137" s="35"/>
      <c r="I137" s="35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3"/>
      <c r="B138" s="34"/>
      <c r="C138" s="34"/>
      <c r="D138" s="35"/>
      <c r="E138" s="34"/>
      <c r="F138" s="35"/>
      <c r="G138" s="34"/>
      <c r="H138" s="35"/>
      <c r="I138" s="35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3"/>
      <c r="B139" s="34"/>
      <c r="C139" s="34"/>
      <c r="D139" s="35"/>
      <c r="E139" s="34"/>
      <c r="F139" s="35"/>
      <c r="G139" s="34"/>
      <c r="H139" s="35"/>
      <c r="I139" s="35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3"/>
      <c r="B140" s="34"/>
      <c r="C140" s="34"/>
      <c r="D140" s="35"/>
      <c r="E140" s="34"/>
      <c r="F140" s="35"/>
      <c r="G140" s="34"/>
      <c r="H140" s="35"/>
      <c r="I140" s="35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3"/>
      <c r="B141" s="34"/>
      <c r="C141" s="34"/>
      <c r="D141" s="35"/>
      <c r="E141" s="34"/>
      <c r="F141" s="35"/>
      <c r="G141" s="34"/>
      <c r="H141" s="35"/>
      <c r="I141" s="35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3"/>
      <c r="B142" s="34"/>
      <c r="C142" s="34"/>
      <c r="D142" s="35"/>
      <c r="E142" s="34"/>
      <c r="F142" s="35"/>
      <c r="G142" s="34"/>
      <c r="H142" s="35"/>
      <c r="I142" s="35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3"/>
      <c r="B143" s="34"/>
      <c r="C143" s="34"/>
      <c r="D143" s="35"/>
      <c r="E143" s="34"/>
      <c r="F143" s="35"/>
      <c r="G143" s="34"/>
      <c r="H143" s="35"/>
      <c r="I143" s="35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3"/>
      <c r="B144" s="34"/>
      <c r="C144" s="34"/>
      <c r="D144" s="35"/>
      <c r="E144" s="34"/>
      <c r="F144" s="35"/>
      <c r="G144" s="34"/>
      <c r="H144" s="35"/>
      <c r="I144" s="35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3"/>
      <c r="B145" s="34"/>
      <c r="C145" s="34"/>
      <c r="D145" s="35"/>
      <c r="E145" s="34"/>
      <c r="F145" s="35"/>
      <c r="G145" s="34"/>
      <c r="H145" s="35"/>
      <c r="I145" s="35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3"/>
      <c r="B146" s="34"/>
      <c r="C146" s="34"/>
      <c r="D146" s="35"/>
      <c r="E146" s="34"/>
      <c r="F146" s="35"/>
      <c r="G146" s="34"/>
      <c r="H146" s="35"/>
      <c r="I146" s="35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3"/>
      <c r="B147" s="34"/>
      <c r="C147" s="34"/>
      <c r="D147" s="35"/>
      <c r="E147" s="34"/>
      <c r="F147" s="35"/>
      <c r="G147" s="34"/>
      <c r="H147" s="35"/>
      <c r="I147" s="35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3"/>
      <c r="B148" s="34"/>
      <c r="C148" s="34"/>
      <c r="D148" s="35"/>
      <c r="E148" s="34"/>
      <c r="F148" s="35"/>
      <c r="G148" s="34"/>
      <c r="H148" s="35"/>
      <c r="I148" s="35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3"/>
      <c r="B149" s="34"/>
      <c r="C149" s="34"/>
      <c r="D149" s="35"/>
      <c r="E149" s="34"/>
      <c r="F149" s="35"/>
      <c r="G149" s="34"/>
      <c r="H149" s="35"/>
      <c r="I149" s="35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3"/>
      <c r="B150" s="34"/>
      <c r="C150" s="34"/>
      <c r="D150" s="35"/>
      <c r="E150" s="34"/>
      <c r="F150" s="35"/>
      <c r="G150" s="34"/>
      <c r="H150" s="35"/>
      <c r="I150" s="35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3"/>
      <c r="B151" s="34"/>
      <c r="C151" s="34"/>
      <c r="D151" s="35"/>
      <c r="E151" s="34"/>
      <c r="F151" s="35"/>
      <c r="G151" s="34"/>
      <c r="H151" s="35"/>
      <c r="I151" s="35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3"/>
      <c r="B152" s="34"/>
      <c r="C152" s="34"/>
      <c r="D152" s="35"/>
      <c r="E152" s="34"/>
      <c r="F152" s="35"/>
      <c r="G152" s="34"/>
      <c r="H152" s="35"/>
      <c r="I152" s="35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3"/>
      <c r="B153" s="34"/>
      <c r="C153" s="34"/>
      <c r="D153" s="35"/>
      <c r="E153" s="34"/>
      <c r="F153" s="35"/>
      <c r="G153" s="34"/>
      <c r="H153" s="35"/>
      <c r="I153" s="35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3"/>
      <c r="B154" s="34"/>
      <c r="C154" s="34"/>
      <c r="D154" s="35"/>
      <c r="E154" s="34"/>
      <c r="F154" s="35"/>
      <c r="G154" s="34"/>
      <c r="H154" s="35"/>
      <c r="I154" s="35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3"/>
      <c r="B155" s="34"/>
      <c r="C155" s="34"/>
      <c r="D155" s="35"/>
      <c r="E155" s="34"/>
      <c r="F155" s="35"/>
      <c r="G155" s="34"/>
      <c r="H155" s="35"/>
      <c r="I155" s="35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3"/>
      <c r="B156" s="34"/>
      <c r="C156" s="34"/>
      <c r="D156" s="35"/>
      <c r="E156" s="34"/>
      <c r="F156" s="35"/>
      <c r="G156" s="34"/>
      <c r="H156" s="35"/>
      <c r="I156" s="35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3"/>
      <c r="B157" s="34"/>
      <c r="C157" s="34"/>
      <c r="D157" s="35"/>
      <c r="E157" s="34"/>
      <c r="F157" s="35"/>
      <c r="G157" s="34"/>
      <c r="H157" s="35"/>
      <c r="I157" s="35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3"/>
      <c r="B158" s="34"/>
      <c r="C158" s="34"/>
      <c r="D158" s="35"/>
      <c r="E158" s="34"/>
      <c r="F158" s="35"/>
      <c r="G158" s="34"/>
      <c r="H158" s="35"/>
      <c r="I158" s="35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3"/>
      <c r="B159" s="34"/>
      <c r="C159" s="34"/>
      <c r="D159" s="35"/>
      <c r="E159" s="34"/>
      <c r="F159" s="35"/>
      <c r="G159" s="34"/>
      <c r="H159" s="35"/>
      <c r="I159" s="35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3"/>
      <c r="B160" s="34"/>
      <c r="C160" s="34"/>
      <c r="D160" s="35"/>
      <c r="E160" s="34"/>
      <c r="F160" s="35"/>
      <c r="G160" s="34"/>
      <c r="H160" s="35"/>
      <c r="I160" s="35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3"/>
      <c r="B161" s="34"/>
      <c r="C161" s="34"/>
      <c r="D161" s="35"/>
      <c r="E161" s="34"/>
      <c r="F161" s="35"/>
      <c r="G161" s="34"/>
      <c r="H161" s="35"/>
      <c r="I161" s="35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3"/>
      <c r="B162" s="34"/>
      <c r="C162" s="34"/>
      <c r="D162" s="35"/>
      <c r="E162" s="34"/>
      <c r="F162" s="35"/>
      <c r="G162" s="34"/>
      <c r="H162" s="35"/>
      <c r="I162" s="35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3"/>
      <c r="B163" s="34"/>
      <c r="C163" s="34"/>
      <c r="D163" s="35"/>
      <c r="E163" s="34"/>
      <c r="F163" s="35"/>
      <c r="G163" s="34"/>
      <c r="H163" s="35"/>
      <c r="I163" s="35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3"/>
      <c r="B164" s="34"/>
      <c r="C164" s="34"/>
      <c r="D164" s="35"/>
      <c r="E164" s="34"/>
      <c r="F164" s="35"/>
      <c r="G164" s="34"/>
      <c r="H164" s="35"/>
      <c r="I164" s="35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3"/>
      <c r="B165" s="34"/>
      <c r="C165" s="34"/>
      <c r="D165" s="35"/>
      <c r="E165" s="34"/>
      <c r="F165" s="35"/>
      <c r="G165" s="34"/>
      <c r="H165" s="35"/>
      <c r="I165" s="35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3"/>
      <c r="B166" s="34"/>
      <c r="C166" s="34"/>
      <c r="D166" s="35"/>
      <c r="E166" s="34"/>
      <c r="F166" s="35"/>
      <c r="G166" s="34"/>
      <c r="H166" s="35"/>
      <c r="I166" s="35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3"/>
      <c r="B167" s="34"/>
      <c r="C167" s="34"/>
      <c r="D167" s="35"/>
      <c r="E167" s="34"/>
      <c r="F167" s="35"/>
      <c r="G167" s="34"/>
      <c r="H167" s="35"/>
      <c r="I167" s="35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3"/>
      <c r="B168" s="34"/>
      <c r="C168" s="34"/>
      <c r="D168" s="35"/>
      <c r="E168" s="34"/>
      <c r="F168" s="35"/>
      <c r="G168" s="34"/>
      <c r="H168" s="35"/>
      <c r="I168" s="35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3"/>
      <c r="B169" s="34"/>
      <c r="C169" s="34"/>
      <c r="D169" s="35"/>
      <c r="E169" s="34"/>
      <c r="F169" s="35"/>
      <c r="G169" s="34"/>
      <c r="H169" s="35"/>
      <c r="I169" s="35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3"/>
      <c r="B170" s="34"/>
      <c r="C170" s="34"/>
      <c r="D170" s="35"/>
      <c r="E170" s="34"/>
      <c r="F170" s="35"/>
      <c r="G170" s="34"/>
      <c r="H170" s="35"/>
      <c r="I170" s="35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3"/>
      <c r="B171" s="34"/>
      <c r="C171" s="34"/>
      <c r="D171" s="35"/>
      <c r="E171" s="34"/>
      <c r="F171" s="35"/>
      <c r="G171" s="34"/>
      <c r="H171" s="35"/>
      <c r="I171" s="35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3"/>
      <c r="B172" s="34"/>
      <c r="C172" s="34"/>
      <c r="D172" s="35"/>
      <c r="E172" s="34"/>
      <c r="F172" s="35"/>
      <c r="G172" s="34"/>
      <c r="H172" s="35"/>
      <c r="I172" s="35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3"/>
      <c r="B173" s="34"/>
      <c r="C173" s="34"/>
      <c r="D173" s="35"/>
      <c r="E173" s="34"/>
      <c r="F173" s="35"/>
      <c r="G173" s="34"/>
      <c r="H173" s="35"/>
      <c r="I173" s="35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3"/>
      <c r="B174" s="34"/>
      <c r="C174" s="34"/>
      <c r="D174" s="35"/>
      <c r="E174" s="34"/>
      <c r="F174" s="35"/>
      <c r="G174" s="34"/>
      <c r="H174" s="35"/>
      <c r="I174" s="35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3"/>
      <c r="B175" s="34"/>
      <c r="C175" s="34"/>
      <c r="D175" s="35"/>
      <c r="E175" s="34"/>
      <c r="F175" s="35"/>
      <c r="G175" s="34"/>
      <c r="H175" s="35"/>
      <c r="I175" s="35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3"/>
      <c r="B176" s="34"/>
      <c r="C176" s="34"/>
      <c r="D176" s="35"/>
      <c r="E176" s="34"/>
      <c r="F176" s="35"/>
      <c r="G176" s="34"/>
      <c r="H176" s="35"/>
      <c r="I176" s="35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3"/>
      <c r="B177" s="34"/>
      <c r="C177" s="34"/>
      <c r="D177" s="35"/>
      <c r="E177" s="34"/>
      <c r="F177" s="35"/>
      <c r="G177" s="34"/>
      <c r="H177" s="35"/>
      <c r="I177" s="35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3"/>
      <c r="B178" s="34"/>
      <c r="C178" s="34"/>
      <c r="D178" s="35"/>
      <c r="E178" s="34"/>
      <c r="F178" s="35"/>
      <c r="G178" s="34"/>
      <c r="H178" s="35"/>
      <c r="I178" s="35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3"/>
      <c r="B179" s="34"/>
      <c r="C179" s="34"/>
      <c r="D179" s="35"/>
      <c r="E179" s="34"/>
      <c r="F179" s="35"/>
      <c r="G179" s="34"/>
      <c r="H179" s="35"/>
      <c r="I179" s="35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3"/>
      <c r="B180" s="34"/>
      <c r="C180" s="34"/>
      <c r="D180" s="35"/>
      <c r="E180" s="34"/>
      <c r="F180" s="35"/>
      <c r="G180" s="34"/>
      <c r="H180" s="35"/>
      <c r="I180" s="35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3"/>
      <c r="B181" s="34"/>
      <c r="C181" s="34"/>
      <c r="D181" s="35"/>
      <c r="E181" s="34"/>
      <c r="F181" s="35"/>
      <c r="G181" s="34"/>
      <c r="H181" s="35"/>
      <c r="I181" s="35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3"/>
      <c r="B182" s="34"/>
      <c r="C182" s="34"/>
      <c r="D182" s="35"/>
      <c r="E182" s="34"/>
      <c r="F182" s="35"/>
      <c r="G182" s="34"/>
      <c r="H182" s="35"/>
      <c r="I182" s="35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3"/>
      <c r="B183" s="34"/>
      <c r="C183" s="34"/>
      <c r="D183" s="35"/>
      <c r="E183" s="34"/>
      <c r="F183" s="35"/>
      <c r="G183" s="34"/>
      <c r="H183" s="35"/>
      <c r="I183" s="35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3"/>
      <c r="B184" s="34"/>
      <c r="C184" s="34"/>
      <c r="D184" s="35"/>
      <c r="E184" s="34"/>
      <c r="F184" s="35"/>
      <c r="G184" s="34"/>
      <c r="H184" s="35"/>
      <c r="I184" s="35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3"/>
      <c r="B185" s="34"/>
      <c r="C185" s="34"/>
      <c r="D185" s="35"/>
      <c r="E185" s="34"/>
      <c r="F185" s="35"/>
      <c r="G185" s="34"/>
      <c r="H185" s="35"/>
      <c r="I185" s="35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3"/>
      <c r="B186" s="34"/>
      <c r="C186" s="34"/>
      <c r="D186" s="35"/>
      <c r="E186" s="34"/>
      <c r="F186" s="35"/>
      <c r="G186" s="34"/>
      <c r="H186" s="35"/>
      <c r="I186" s="35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3"/>
      <c r="B187" s="34"/>
      <c r="C187" s="34"/>
      <c r="D187" s="35"/>
      <c r="E187" s="34"/>
      <c r="F187" s="35"/>
      <c r="G187" s="34"/>
      <c r="H187" s="35"/>
      <c r="I187" s="35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3"/>
      <c r="B188" s="34"/>
      <c r="C188" s="34"/>
      <c r="D188" s="35"/>
      <c r="E188" s="34"/>
      <c r="F188" s="35"/>
      <c r="G188" s="34"/>
      <c r="H188" s="35"/>
      <c r="I188" s="35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3"/>
      <c r="B189" s="34"/>
      <c r="C189" s="34"/>
      <c r="D189" s="35"/>
      <c r="E189" s="34"/>
      <c r="F189" s="35"/>
      <c r="G189" s="34"/>
      <c r="H189" s="35"/>
      <c r="I189" s="35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3"/>
      <c r="B190" s="34"/>
      <c r="C190" s="34"/>
      <c r="D190" s="35"/>
      <c r="E190" s="34"/>
      <c r="F190" s="35"/>
      <c r="G190" s="34"/>
      <c r="H190" s="35"/>
      <c r="I190" s="35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3"/>
      <c r="B191" s="34"/>
      <c r="C191" s="34"/>
      <c r="D191" s="35"/>
      <c r="E191" s="34"/>
      <c r="F191" s="35"/>
      <c r="G191" s="34"/>
      <c r="H191" s="35"/>
      <c r="I191" s="35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3"/>
      <c r="B192" s="34"/>
      <c r="C192" s="34"/>
      <c r="D192" s="35"/>
      <c r="E192" s="34"/>
      <c r="F192" s="35"/>
      <c r="G192" s="34"/>
      <c r="H192" s="35"/>
      <c r="I192" s="35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3"/>
      <c r="B193" s="34"/>
      <c r="C193" s="34"/>
      <c r="D193" s="35"/>
      <c r="E193" s="34"/>
      <c r="F193" s="35"/>
      <c r="G193" s="34"/>
      <c r="H193" s="35"/>
      <c r="I193" s="35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3"/>
      <c r="B194" s="34"/>
      <c r="C194" s="34"/>
      <c r="D194" s="35"/>
      <c r="E194" s="34"/>
      <c r="F194" s="35"/>
      <c r="G194" s="34"/>
      <c r="H194" s="35"/>
      <c r="I194" s="35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3"/>
      <c r="B195" s="34"/>
      <c r="C195" s="34"/>
      <c r="D195" s="35"/>
      <c r="E195" s="34"/>
      <c r="F195" s="35"/>
      <c r="G195" s="34"/>
      <c r="H195" s="35"/>
      <c r="I195" s="35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3"/>
      <c r="B196" s="34"/>
      <c r="C196" s="34"/>
      <c r="D196" s="35"/>
      <c r="E196" s="34"/>
      <c r="F196" s="35"/>
      <c r="G196" s="34"/>
      <c r="H196" s="35"/>
      <c r="I196" s="35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3"/>
      <c r="B197" s="34"/>
      <c r="C197" s="34"/>
      <c r="D197" s="35"/>
      <c r="E197" s="34"/>
      <c r="F197" s="35"/>
      <c r="G197" s="34"/>
      <c r="H197" s="35"/>
      <c r="I197" s="35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3"/>
      <c r="B198" s="34"/>
      <c r="C198" s="34"/>
      <c r="D198" s="35"/>
      <c r="E198" s="34"/>
      <c r="F198" s="35"/>
      <c r="G198" s="34"/>
      <c r="H198" s="35"/>
      <c r="I198" s="35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3"/>
      <c r="B199" s="34"/>
      <c r="C199" s="34"/>
      <c r="D199" s="35"/>
      <c r="E199" s="34"/>
      <c r="F199" s="35"/>
      <c r="G199" s="34"/>
      <c r="H199" s="35"/>
      <c r="I199" s="35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3"/>
      <c r="B200" s="34"/>
      <c r="C200" s="34"/>
      <c r="D200" s="35"/>
      <c r="E200" s="34"/>
      <c r="F200" s="35"/>
      <c r="G200" s="34"/>
      <c r="H200" s="35"/>
      <c r="I200" s="35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3"/>
      <c r="B201" s="34"/>
      <c r="C201" s="34"/>
      <c r="D201" s="35"/>
      <c r="E201" s="34"/>
      <c r="F201" s="35"/>
      <c r="G201" s="34"/>
      <c r="H201" s="35"/>
      <c r="I201" s="35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3"/>
      <c r="B202" s="34"/>
      <c r="C202" s="34"/>
      <c r="D202" s="35"/>
      <c r="E202" s="34"/>
      <c r="F202" s="35"/>
      <c r="G202" s="34"/>
      <c r="H202" s="35"/>
      <c r="I202" s="35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3"/>
      <c r="B203" s="34"/>
      <c r="C203" s="34"/>
      <c r="D203" s="35"/>
      <c r="E203" s="34"/>
      <c r="F203" s="35"/>
      <c r="G203" s="34"/>
      <c r="H203" s="35"/>
      <c r="I203" s="35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3"/>
      <c r="B204" s="34"/>
      <c r="C204" s="34"/>
      <c r="D204" s="35"/>
      <c r="E204" s="34"/>
      <c r="F204" s="35"/>
      <c r="G204" s="34"/>
      <c r="H204" s="35"/>
      <c r="I204" s="35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3"/>
      <c r="B205" s="34"/>
      <c r="C205" s="34"/>
      <c r="D205" s="35"/>
      <c r="E205" s="34"/>
      <c r="F205" s="35"/>
      <c r="G205" s="34"/>
      <c r="H205" s="35"/>
      <c r="I205" s="35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3"/>
      <c r="B206" s="34"/>
      <c r="C206" s="34"/>
      <c r="D206" s="35"/>
      <c r="E206" s="34"/>
      <c r="F206" s="35"/>
      <c r="G206" s="34"/>
      <c r="H206" s="35"/>
      <c r="I206" s="35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3"/>
      <c r="B207" s="34"/>
      <c r="C207" s="34"/>
      <c r="D207" s="35"/>
      <c r="E207" s="34"/>
      <c r="F207" s="35"/>
      <c r="G207" s="34"/>
      <c r="H207" s="35"/>
      <c r="I207" s="35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3"/>
      <c r="B208" s="34"/>
      <c r="C208" s="34"/>
      <c r="D208" s="35"/>
      <c r="E208" s="34"/>
      <c r="F208" s="35"/>
      <c r="G208" s="34"/>
      <c r="H208" s="35"/>
      <c r="I208" s="35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3"/>
      <c r="B209" s="34"/>
      <c r="C209" s="34"/>
      <c r="D209" s="35"/>
      <c r="E209" s="34"/>
      <c r="F209" s="35"/>
      <c r="G209" s="34"/>
      <c r="H209" s="35"/>
      <c r="I209" s="35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3"/>
      <c r="B210" s="34"/>
      <c r="C210" s="34"/>
      <c r="D210" s="35"/>
      <c r="E210" s="34"/>
      <c r="F210" s="35"/>
      <c r="G210" s="34"/>
      <c r="H210" s="35"/>
      <c r="I210" s="35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3"/>
      <c r="B211" s="34"/>
      <c r="C211" s="34"/>
      <c r="D211" s="35"/>
      <c r="E211" s="34"/>
      <c r="F211" s="35"/>
      <c r="G211" s="34"/>
      <c r="H211" s="35"/>
      <c r="I211" s="35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3"/>
      <c r="B212" s="34"/>
      <c r="C212" s="34"/>
      <c r="D212" s="35"/>
      <c r="E212" s="34"/>
      <c r="F212" s="35"/>
      <c r="G212" s="34"/>
      <c r="H212" s="35"/>
      <c r="I212" s="35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3"/>
      <c r="B213" s="34"/>
      <c r="C213" s="34"/>
      <c r="D213" s="35"/>
      <c r="E213" s="34"/>
      <c r="F213" s="35"/>
      <c r="G213" s="34"/>
      <c r="H213" s="35"/>
      <c r="I213" s="35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3"/>
      <c r="B214" s="34"/>
      <c r="C214" s="34"/>
      <c r="D214" s="35"/>
      <c r="E214" s="34"/>
      <c r="F214" s="35"/>
      <c r="G214" s="34"/>
      <c r="H214" s="35"/>
      <c r="I214" s="35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3"/>
      <c r="B215" s="34"/>
      <c r="C215" s="34"/>
      <c r="D215" s="35"/>
      <c r="E215" s="34"/>
      <c r="F215" s="35"/>
      <c r="G215" s="34"/>
      <c r="H215" s="35"/>
      <c r="I215" s="35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3"/>
      <c r="B216" s="34"/>
      <c r="C216" s="34"/>
      <c r="D216" s="35"/>
      <c r="E216" s="34"/>
      <c r="F216" s="35"/>
      <c r="G216" s="34"/>
      <c r="H216" s="35"/>
      <c r="I216" s="35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3"/>
      <c r="B217" s="34"/>
      <c r="C217" s="34"/>
      <c r="D217" s="35"/>
      <c r="E217" s="34"/>
      <c r="F217" s="35"/>
      <c r="G217" s="34"/>
      <c r="H217" s="35"/>
      <c r="I217" s="35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3"/>
      <c r="B218" s="34"/>
      <c r="C218" s="34"/>
      <c r="D218" s="35"/>
      <c r="E218" s="34"/>
      <c r="F218" s="35"/>
      <c r="G218" s="34"/>
      <c r="H218" s="35"/>
      <c r="I218" s="35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3"/>
      <c r="B219" s="34"/>
      <c r="C219" s="34"/>
      <c r="D219" s="35"/>
      <c r="E219" s="34"/>
      <c r="F219" s="35"/>
      <c r="G219" s="34"/>
      <c r="H219" s="35"/>
      <c r="I219" s="35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3"/>
      <c r="B220" s="34"/>
      <c r="C220" s="34"/>
      <c r="D220" s="35"/>
      <c r="E220" s="34"/>
      <c r="F220" s="35"/>
      <c r="G220" s="34"/>
      <c r="H220" s="35"/>
      <c r="I220" s="35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>
      <c r="A221" s="33"/>
      <c r="B221" s="34"/>
      <c r="C221" s="34"/>
      <c r="D221" s="35"/>
      <c r="E221" s="34"/>
      <c r="F221" s="35"/>
      <c r="G221" s="34"/>
      <c r="H221" s="35"/>
      <c r="I221" s="35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ht="15.75" customHeight="1">
      <c r="A222" s="33"/>
      <c r="B222" s="34"/>
      <c r="C222" s="34"/>
      <c r="D222" s="35"/>
      <c r="E222" s="34"/>
      <c r="F222" s="35"/>
      <c r="G222" s="34"/>
      <c r="H222" s="35"/>
      <c r="I222" s="35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ht="15.75" customHeight="1">
      <c r="A223" s="33"/>
      <c r="B223" s="34"/>
      <c r="C223" s="34"/>
      <c r="D223" s="35"/>
      <c r="E223" s="34"/>
      <c r="F223" s="35"/>
      <c r="G223" s="34"/>
      <c r="H223" s="35"/>
      <c r="I223" s="35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ht="15.75" customHeight="1">
      <c r="A224" s="33"/>
      <c r="B224" s="34"/>
      <c r="C224" s="34"/>
      <c r="D224" s="35"/>
      <c r="E224" s="34"/>
      <c r="F224" s="35"/>
      <c r="G224" s="34"/>
      <c r="H224" s="35"/>
      <c r="I224" s="35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ht="15.75" customHeight="1">
      <c r="A225" s="33"/>
      <c r="B225" s="34"/>
      <c r="C225" s="34"/>
      <c r="D225" s="35"/>
      <c r="E225" s="34"/>
      <c r="F225" s="35"/>
      <c r="G225" s="34"/>
      <c r="H225" s="35"/>
      <c r="I225" s="35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ht="15.75" customHeight="1">
      <c r="A226" s="33"/>
      <c r="B226" s="34"/>
      <c r="C226" s="34"/>
      <c r="D226" s="35"/>
      <c r="E226" s="34"/>
      <c r="F226" s="35"/>
      <c r="G226" s="34"/>
      <c r="H226" s="35"/>
      <c r="I226" s="35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ht="15.75" customHeight="1">
      <c r="A227" s="33"/>
      <c r="B227" s="34"/>
      <c r="C227" s="34"/>
      <c r="D227" s="35"/>
      <c r="E227" s="34"/>
      <c r="F227" s="35"/>
      <c r="G227" s="34"/>
      <c r="H227" s="35"/>
      <c r="I227" s="35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ht="15.75" customHeight="1">
      <c r="A228" s="33"/>
      <c r="B228" s="34"/>
      <c r="C228" s="34"/>
      <c r="D228" s="35"/>
      <c r="E228" s="34"/>
      <c r="F228" s="35"/>
      <c r="G228" s="34"/>
      <c r="H228" s="35"/>
      <c r="I228" s="35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ht="15.75" customHeight="1">
      <c r="A229" s="33"/>
      <c r="B229" s="34"/>
      <c r="C229" s="34"/>
      <c r="D229" s="35"/>
      <c r="E229" s="34"/>
      <c r="F229" s="35"/>
      <c r="G229" s="34"/>
      <c r="H229" s="35"/>
      <c r="I229" s="35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ht="15.75" customHeight="1">
      <c r="A230" s="33"/>
      <c r="B230" s="34"/>
      <c r="C230" s="34"/>
      <c r="D230" s="35"/>
      <c r="E230" s="34"/>
      <c r="F230" s="35"/>
      <c r="G230" s="34"/>
      <c r="H230" s="35"/>
      <c r="I230" s="35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ht="15.75" customHeight="1">
      <c r="A231" s="33"/>
      <c r="B231" s="34"/>
      <c r="C231" s="34"/>
      <c r="D231" s="35"/>
      <c r="E231" s="34"/>
      <c r="F231" s="35"/>
      <c r="G231" s="34"/>
      <c r="H231" s="35"/>
      <c r="I231" s="35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36" t="s">
        <v>57</v>
      </c>
      <c r="B1" s="36" t="s">
        <v>58</v>
      </c>
      <c r="C1" s="36" t="s">
        <v>59</v>
      </c>
      <c r="D1" s="36" t="s">
        <v>60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ht="22.5" customHeight="1">
      <c r="A2" s="37">
        <f>Extrato26!A2</f>
        <v>46063</v>
      </c>
      <c r="B2" s="38">
        <f>Extrato26!B2</f>
        <v>10</v>
      </c>
      <c r="C2" s="38" t="str">
        <f>Extrato26!C2</f>
        <v>TESTE</v>
      </c>
      <c r="D2" s="39" t="s">
        <v>30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ht="22.5" customHeight="1">
      <c r="A3" s="37" t="str">
        <f>Extrato26!A3</f>
        <v/>
      </c>
      <c r="B3" s="38" t="str">
        <f>Extrato26!B3</f>
        <v/>
      </c>
      <c r="C3" s="38" t="str">
        <f>Extrato26!C3</f>
        <v/>
      </c>
      <c r="D3" s="40" t="s">
        <v>31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ht="22.5" customHeight="1">
      <c r="A4" s="37" t="str">
        <f>Extrato26!A4</f>
        <v/>
      </c>
      <c r="B4" s="38" t="str">
        <f>Extrato26!B4</f>
        <v/>
      </c>
      <c r="C4" s="38" t="str">
        <f>Extrato26!C4</f>
        <v/>
      </c>
      <c r="D4" s="39" t="s">
        <v>34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ht="22.5" customHeight="1">
      <c r="A5" s="37" t="str">
        <f>Extrato26!A5</f>
        <v/>
      </c>
      <c r="B5" s="38" t="str">
        <f>Extrato26!B5</f>
        <v/>
      </c>
      <c r="C5" s="38" t="str">
        <f>Extrato26!C5</f>
        <v/>
      </c>
      <c r="D5" s="40" t="s">
        <v>34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ht="22.5" customHeight="1">
      <c r="A6" s="37" t="str">
        <f>Extrato26!A6</f>
        <v/>
      </c>
      <c r="B6" s="38" t="str">
        <f>Extrato26!B6</f>
        <v/>
      </c>
      <c r="C6" s="38" t="str">
        <f>Extrato26!C6</f>
        <v/>
      </c>
      <c r="D6" s="39" t="s">
        <v>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ht="22.5" customHeight="1">
      <c r="A7" s="37" t="str">
        <f>Extrato26!A7</f>
        <v/>
      </c>
      <c r="B7" s="38" t="str">
        <f>Extrato26!B7</f>
        <v/>
      </c>
      <c r="C7" s="38" t="str">
        <f>Extrato26!C7</f>
        <v/>
      </c>
      <c r="D7" s="40" t="s">
        <v>52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ht="22.5" customHeight="1">
      <c r="A8" s="37" t="str">
        <f>Extrato26!A8</f>
        <v/>
      </c>
      <c r="B8" s="38" t="str">
        <f>Extrato26!B8</f>
        <v/>
      </c>
      <c r="C8" s="38" t="str">
        <f>Extrato26!C8</f>
        <v/>
      </c>
      <c r="D8" s="39" t="s">
        <v>42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ht="22.5" customHeight="1">
      <c r="A9" s="37" t="str">
        <f>Extrato26!A9</f>
        <v/>
      </c>
      <c r="B9" s="38" t="str">
        <f>Extrato26!B9</f>
        <v/>
      </c>
      <c r="C9" s="38" t="str">
        <f>Extrato26!C9</f>
        <v/>
      </c>
      <c r="D9" s="41" t="s">
        <v>48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ht="22.5" customHeight="1">
      <c r="A10" s="37" t="str">
        <f>Extrato26!A10</f>
        <v/>
      </c>
      <c r="B10" s="38" t="str">
        <f>Extrato26!B10</f>
        <v/>
      </c>
      <c r="C10" s="38" t="str">
        <f>Extrato26!C10</f>
        <v/>
      </c>
      <c r="D10" s="39" t="s">
        <v>48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22.5" customHeight="1">
      <c r="A11" s="37" t="str">
        <f>Extrato26!A11</f>
        <v/>
      </c>
      <c r="B11" s="38" t="str">
        <f>Extrato26!B11</f>
        <v/>
      </c>
      <c r="C11" s="38" t="str">
        <f>Extrato26!C11</f>
        <v/>
      </c>
      <c r="D11" s="40" t="s">
        <v>47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22.5" customHeight="1">
      <c r="A12" s="37" t="str">
        <f>Extrato26!A12</f>
        <v/>
      </c>
      <c r="B12" s="38" t="str">
        <f>Extrato26!B12</f>
        <v/>
      </c>
      <c r="C12" s="38" t="str">
        <f>Extrato26!C12</f>
        <v/>
      </c>
      <c r="D12" s="39" t="s">
        <v>42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22.5" customHeight="1">
      <c r="A13" s="37" t="str">
        <f>Extrato26!A13</f>
        <v/>
      </c>
      <c r="B13" s="38" t="str">
        <f>Extrato26!B13</f>
        <v/>
      </c>
      <c r="C13" s="38" t="str">
        <f>Extrato26!C13</f>
        <v/>
      </c>
      <c r="D13" s="40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22.5" customHeight="1">
      <c r="A14" s="37" t="str">
        <f>Extrato26!A14</f>
        <v/>
      </c>
      <c r="B14" s="38" t="str">
        <f>Extrato26!B14</f>
        <v/>
      </c>
      <c r="C14" s="38" t="str">
        <f>Extrato26!C14</f>
        <v/>
      </c>
      <c r="D14" s="42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22.5" customHeight="1">
      <c r="A15" s="37" t="str">
        <f>Extrato26!A15</f>
        <v/>
      </c>
      <c r="B15" s="38" t="str">
        <f>Extrato26!B15</f>
        <v/>
      </c>
      <c r="C15" s="38" t="str">
        <f>Extrato26!C15</f>
        <v/>
      </c>
      <c r="D15" s="43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22.5" customHeight="1">
      <c r="A16" s="37" t="str">
        <f>Extrato26!A16</f>
        <v/>
      </c>
      <c r="B16" s="38" t="str">
        <f>Extrato26!B16</f>
        <v/>
      </c>
      <c r="C16" s="38" t="str">
        <f>Extrato26!C16</f>
        <v/>
      </c>
      <c r="D16" s="42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ht="22.5" customHeight="1">
      <c r="A17" s="37" t="str">
        <f>Extrato26!A17</f>
        <v/>
      </c>
      <c r="B17" s="38" t="str">
        <f>Extrato26!B17</f>
        <v/>
      </c>
      <c r="C17" s="38" t="str">
        <f>Extrato26!C17</f>
        <v/>
      </c>
      <c r="D17" s="43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22.5" customHeight="1">
      <c r="A18" s="37" t="str">
        <f>Extrato26!A18</f>
        <v/>
      </c>
      <c r="B18" s="38" t="str">
        <f>Extrato26!B18</f>
        <v/>
      </c>
      <c r="C18" s="38" t="str">
        <f>Extrato26!C18</f>
        <v/>
      </c>
      <c r="D18" s="42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22.5" customHeight="1">
      <c r="A19" s="37" t="str">
        <f>Extrato26!A19</f>
        <v/>
      </c>
      <c r="B19" s="38" t="str">
        <f>Extrato26!B19</f>
        <v/>
      </c>
      <c r="C19" s="38" t="str">
        <f>Extrato26!C19</f>
        <v/>
      </c>
      <c r="D19" s="43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22.5" customHeight="1">
      <c r="A20" s="37" t="str">
        <f>Extrato26!A20</f>
        <v/>
      </c>
      <c r="B20" s="38" t="str">
        <f>Extrato26!B20</f>
        <v/>
      </c>
      <c r="C20" s="38" t="str">
        <f>Extrato26!C20</f>
        <v/>
      </c>
      <c r="D20" s="42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22.5" customHeight="1">
      <c r="A21" s="37" t="str">
        <f>Extrato26!A21</f>
        <v/>
      </c>
      <c r="B21" s="38" t="str">
        <f>Extrato26!B21</f>
        <v/>
      </c>
      <c r="C21" s="38" t="str">
        <f>Extrato26!C21</f>
        <v/>
      </c>
      <c r="D21" s="43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22.5" customHeight="1">
      <c r="A22" s="37" t="str">
        <f>Extrato26!A22</f>
        <v/>
      </c>
      <c r="B22" s="38" t="str">
        <f>Extrato26!B22</f>
        <v/>
      </c>
      <c r="C22" s="38" t="str">
        <f>Extrato26!C22</f>
        <v/>
      </c>
      <c r="D22" s="42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22.5" customHeight="1">
      <c r="A23" s="37" t="str">
        <f>Extrato26!A23</f>
        <v/>
      </c>
      <c r="B23" s="38" t="str">
        <f>Extrato26!B23</f>
        <v/>
      </c>
      <c r="C23" s="38" t="str">
        <f>Extrato26!C23</f>
        <v/>
      </c>
      <c r="D23" s="43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22.5" customHeight="1">
      <c r="A24" s="37" t="str">
        <f>Extrato26!A24</f>
        <v/>
      </c>
      <c r="B24" s="38" t="str">
        <f>Extrato26!B24</f>
        <v/>
      </c>
      <c r="C24" s="38" t="str">
        <f>Extrato26!C24</f>
        <v/>
      </c>
      <c r="D24" s="4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22.5" customHeight="1">
      <c r="A25" s="37" t="str">
        <f>Extrato26!A25</f>
        <v/>
      </c>
      <c r="B25" s="38" t="str">
        <f>Extrato26!B25</f>
        <v/>
      </c>
      <c r="C25" s="38" t="str">
        <f>Extrato26!C25</f>
        <v/>
      </c>
      <c r="D25" s="43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22.5" customHeight="1">
      <c r="A26" s="37" t="str">
        <f>Extrato26!A26</f>
        <v/>
      </c>
      <c r="B26" s="38" t="str">
        <f>Extrato26!B26</f>
        <v/>
      </c>
      <c r="C26" s="38" t="str">
        <f>Extrato26!C26</f>
        <v/>
      </c>
      <c r="D26" s="4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22.5" customHeight="1">
      <c r="A27" s="37" t="str">
        <f>Extrato26!A27</f>
        <v/>
      </c>
      <c r="B27" s="38" t="str">
        <f>Extrato26!B27</f>
        <v/>
      </c>
      <c r="C27" s="38" t="str">
        <f>Extrato26!C27</f>
        <v/>
      </c>
      <c r="D27" s="4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ht="22.5" customHeight="1">
      <c r="A28" s="37" t="str">
        <f>Extrato26!A28</f>
        <v/>
      </c>
      <c r="B28" s="38" t="str">
        <f>Extrato26!B28</f>
        <v/>
      </c>
      <c r="C28" s="38" t="str">
        <f>Extrato26!C28</f>
        <v/>
      </c>
      <c r="D28" s="4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22.5" customHeight="1">
      <c r="A29" s="37" t="str">
        <f>Extrato26!A29</f>
        <v/>
      </c>
      <c r="B29" s="38" t="str">
        <f>Extrato26!B29</f>
        <v/>
      </c>
      <c r="C29" s="38" t="str">
        <f>Extrato26!C29</f>
        <v/>
      </c>
      <c r="D29" s="4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22.5" customHeight="1">
      <c r="A30" s="37" t="str">
        <f>Extrato26!A30</f>
        <v/>
      </c>
      <c r="B30" s="38" t="str">
        <f>Extrato26!B30</f>
        <v/>
      </c>
      <c r="C30" s="38" t="str">
        <f>Extrato26!C30</f>
        <v/>
      </c>
      <c r="D30" s="4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22.5" customHeight="1">
      <c r="A31" s="37" t="str">
        <f>Extrato26!A31</f>
        <v/>
      </c>
      <c r="B31" s="38" t="str">
        <f>Extrato26!B31</f>
        <v/>
      </c>
      <c r="C31" s="38" t="str">
        <f>Extrato26!C31</f>
        <v/>
      </c>
      <c r="D31" s="45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22.5" customHeight="1">
      <c r="A32" s="37" t="str">
        <f>Extrato26!A32</f>
        <v/>
      </c>
      <c r="B32" s="38" t="str">
        <f>Extrato26!B32</f>
        <v/>
      </c>
      <c r="C32" s="38" t="str">
        <f>Extrato26!C32</f>
        <v/>
      </c>
      <c r="D32" s="4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22.5" customHeight="1">
      <c r="A33" s="37" t="str">
        <f>Extrato26!A33</f>
        <v/>
      </c>
      <c r="B33" s="38" t="str">
        <f>Extrato26!B33</f>
        <v/>
      </c>
      <c r="C33" s="38" t="str">
        <f>Extrato26!C33</f>
        <v/>
      </c>
      <c r="D33" s="45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22.5" customHeight="1">
      <c r="A34" s="37" t="str">
        <f>Extrato26!A34</f>
        <v/>
      </c>
      <c r="B34" s="38" t="str">
        <f>Extrato26!B34</f>
        <v/>
      </c>
      <c r="C34" s="38" t="str">
        <f>Extrato26!C34</f>
        <v/>
      </c>
      <c r="D34" s="4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22.5" customHeight="1">
      <c r="A35" s="37" t="str">
        <f>Extrato26!A35</f>
        <v/>
      </c>
      <c r="B35" s="38" t="str">
        <f>Extrato26!B35</f>
        <v/>
      </c>
      <c r="C35" s="38" t="str">
        <f>Extrato26!C35</f>
        <v/>
      </c>
      <c r="D35" s="45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22.5" customHeight="1">
      <c r="A36" s="37" t="str">
        <f>Extrato26!A36</f>
        <v/>
      </c>
      <c r="B36" s="38" t="str">
        <f>Extrato26!B36</f>
        <v/>
      </c>
      <c r="C36" s="38" t="str">
        <f>Extrato26!C36</f>
        <v/>
      </c>
      <c r="D36" s="4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ht="22.5" customHeight="1">
      <c r="A37" s="37" t="str">
        <f>Extrato26!A37</f>
        <v/>
      </c>
      <c r="B37" s="38" t="str">
        <f>Extrato26!B37</f>
        <v/>
      </c>
      <c r="C37" s="38" t="str">
        <f>Extrato26!C37</f>
        <v/>
      </c>
      <c r="D37" s="45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ht="22.5" customHeight="1">
      <c r="A38" s="37" t="str">
        <f>Extrato26!A38</f>
        <v/>
      </c>
      <c r="B38" s="38" t="str">
        <f>Extrato26!B38</f>
        <v/>
      </c>
      <c r="C38" s="38" t="str">
        <f>Extrato26!C38</f>
        <v/>
      </c>
      <c r="D38" s="4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ht="22.5" customHeight="1">
      <c r="A39" s="37" t="str">
        <f>Extrato26!A39</f>
        <v/>
      </c>
      <c r="B39" s="38" t="str">
        <f>Extrato26!B39</f>
        <v/>
      </c>
      <c r="C39" s="38" t="str">
        <f>Extrato26!C39</f>
        <v/>
      </c>
      <c r="D39" s="45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ht="22.5" customHeight="1">
      <c r="A40" s="37" t="str">
        <f>Extrato26!A40</f>
        <v/>
      </c>
      <c r="B40" s="38" t="str">
        <f>Extrato26!B40</f>
        <v/>
      </c>
      <c r="C40" s="38" t="str">
        <f>Extrato26!C40</f>
        <v/>
      </c>
      <c r="D40" s="4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ht="22.5" customHeight="1">
      <c r="A41" s="37" t="str">
        <f>Extrato26!A41</f>
        <v/>
      </c>
      <c r="B41" s="38" t="str">
        <f>Extrato26!B41</f>
        <v/>
      </c>
      <c r="C41" s="38" t="str">
        <f>Extrato26!C41</f>
        <v/>
      </c>
      <c r="D41" s="45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ht="22.5" customHeight="1">
      <c r="A42" s="37" t="str">
        <f>Extrato26!A42</f>
        <v/>
      </c>
      <c r="B42" s="38" t="str">
        <f>Extrato26!B42</f>
        <v/>
      </c>
      <c r="C42" s="38" t="str">
        <f>Extrato26!C42</f>
        <v/>
      </c>
      <c r="D42" s="4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ht="22.5" customHeight="1">
      <c r="A43" s="37" t="str">
        <f>Extrato26!A43</f>
        <v/>
      </c>
      <c r="B43" s="38" t="str">
        <f>Extrato26!B43</f>
        <v/>
      </c>
      <c r="C43" s="38" t="str">
        <f>Extrato26!C43</f>
        <v/>
      </c>
      <c r="D43" s="45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22.5" customHeight="1">
      <c r="A44" s="37" t="str">
        <f>Extrato26!A44</f>
        <v/>
      </c>
      <c r="B44" s="38" t="str">
        <f>Extrato26!B44</f>
        <v/>
      </c>
      <c r="C44" s="38" t="str">
        <f>Extrato26!C44</f>
        <v/>
      </c>
      <c r="D44" s="4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ht="22.5" customHeight="1">
      <c r="A45" s="37" t="str">
        <f>Extrato26!A45</f>
        <v/>
      </c>
      <c r="B45" s="38" t="str">
        <f>Extrato26!B45</f>
        <v/>
      </c>
      <c r="C45" s="38" t="str">
        <f>Extrato26!C45</f>
        <v/>
      </c>
      <c r="D45" s="45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ht="22.5" customHeight="1">
      <c r="A46" s="37" t="str">
        <f>Extrato26!A46</f>
        <v/>
      </c>
      <c r="B46" s="38" t="str">
        <f>Extrato26!B46</f>
        <v/>
      </c>
      <c r="C46" s="38" t="str">
        <f>Extrato26!C46</f>
        <v/>
      </c>
      <c r="D46" s="4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ht="22.5" customHeight="1">
      <c r="A47" s="37" t="str">
        <f>Extrato26!A47</f>
        <v/>
      </c>
      <c r="B47" s="38" t="str">
        <f>Extrato26!B47</f>
        <v/>
      </c>
      <c r="C47" s="38" t="str">
        <f>Extrato26!C47</f>
        <v/>
      </c>
      <c r="D47" s="45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ht="22.5" customHeight="1">
      <c r="A48" s="37" t="str">
        <f>Extrato26!A48</f>
        <v/>
      </c>
      <c r="B48" s="38" t="str">
        <f>Extrato26!B48</f>
        <v/>
      </c>
      <c r="C48" s="38" t="str">
        <f>Extrato26!C48</f>
        <v/>
      </c>
      <c r="D48" s="46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ht="22.5" customHeight="1">
      <c r="A49" s="37" t="str">
        <f>Extrato26!A49</f>
        <v/>
      </c>
      <c r="B49" s="38" t="str">
        <f>Extrato26!B49</f>
        <v/>
      </c>
      <c r="C49" s="38" t="str">
        <f>Extrato26!C49</f>
        <v/>
      </c>
      <c r="D49" s="45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ht="22.5" customHeight="1">
      <c r="A50" s="37" t="str">
        <f>Extrato26!A50</f>
        <v/>
      </c>
      <c r="B50" s="38" t="str">
        <f>Extrato26!B50</f>
        <v/>
      </c>
      <c r="C50" s="38" t="str">
        <f>Extrato26!C50</f>
        <v/>
      </c>
      <c r="D50" s="4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ht="22.5" customHeight="1">
      <c r="A51" s="37" t="str">
        <f>Extrato26!A51</f>
        <v/>
      </c>
      <c r="B51" s="38" t="str">
        <f>Extrato26!B51</f>
        <v/>
      </c>
      <c r="C51" s="38" t="str">
        <f>Extrato26!C51</f>
        <v/>
      </c>
      <c r="D51" s="45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ht="22.5" customHeight="1">
      <c r="A52" s="37" t="str">
        <f>Extrato26!A52</f>
        <v/>
      </c>
      <c r="B52" s="38" t="str">
        <f>Extrato26!B52</f>
        <v/>
      </c>
      <c r="C52" s="38" t="str">
        <f>Extrato26!C52</f>
        <v/>
      </c>
      <c r="D52" s="4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ht="22.5" customHeight="1">
      <c r="A53" s="37" t="str">
        <f>Extrato26!A53</f>
        <v/>
      </c>
      <c r="B53" s="38" t="str">
        <f>Extrato26!B53</f>
        <v/>
      </c>
      <c r="C53" s="38" t="str">
        <f>Extrato26!C53</f>
        <v/>
      </c>
      <c r="D53" s="45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ht="22.5" customHeight="1">
      <c r="A54" s="37" t="str">
        <f>Extrato26!A54</f>
        <v/>
      </c>
      <c r="B54" s="38" t="str">
        <f>Extrato26!B54</f>
        <v/>
      </c>
      <c r="C54" s="38" t="str">
        <f>Extrato26!C54</f>
        <v/>
      </c>
      <c r="D54" s="4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ht="22.5" customHeight="1">
      <c r="A55" s="37" t="str">
        <f>Extrato26!A55</f>
        <v/>
      </c>
      <c r="B55" s="38" t="str">
        <f>Extrato26!B55</f>
        <v/>
      </c>
      <c r="C55" s="38" t="str">
        <f>Extrato26!C55</f>
        <v/>
      </c>
      <c r="D55" s="45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ht="22.5" customHeight="1">
      <c r="A56" s="37" t="str">
        <f>Extrato26!A56</f>
        <v/>
      </c>
      <c r="B56" s="38" t="str">
        <f>Extrato26!B56</f>
        <v/>
      </c>
      <c r="C56" s="38" t="str">
        <f>Extrato26!C56</f>
        <v/>
      </c>
      <c r="D56" s="4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ht="22.5" customHeight="1">
      <c r="A57" s="37" t="str">
        <f>Extrato26!A57</f>
        <v/>
      </c>
      <c r="B57" s="38" t="str">
        <f>Extrato26!B57</f>
        <v/>
      </c>
      <c r="C57" s="38" t="str">
        <f>Extrato26!C57</f>
        <v/>
      </c>
      <c r="D57" s="45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ht="22.5" customHeight="1">
      <c r="A58" s="37" t="str">
        <f>Extrato26!A58</f>
        <v/>
      </c>
      <c r="B58" s="38" t="str">
        <f>Extrato26!B58</f>
        <v/>
      </c>
      <c r="C58" s="38" t="str">
        <f>Extrato26!C58</f>
        <v/>
      </c>
      <c r="D58" s="4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ht="22.5" customHeight="1">
      <c r="A59" s="37" t="str">
        <f>Extrato26!A59</f>
        <v/>
      </c>
      <c r="B59" s="38" t="str">
        <f>Extrato26!B59</f>
        <v/>
      </c>
      <c r="C59" s="38" t="str">
        <f>Extrato26!C59</f>
        <v/>
      </c>
      <c r="D59" s="45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ht="22.5" customHeight="1">
      <c r="A60" s="37" t="str">
        <f>Extrato26!A60</f>
        <v/>
      </c>
      <c r="B60" s="38" t="str">
        <f>Extrato26!B60</f>
        <v/>
      </c>
      <c r="C60" s="38" t="str">
        <f>Extrato26!C60</f>
        <v/>
      </c>
      <c r="D60" s="4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ht="22.5" customHeight="1">
      <c r="A61" s="37" t="str">
        <f>Extrato26!A61</f>
        <v/>
      </c>
      <c r="B61" s="38" t="str">
        <f>Extrato26!B61</f>
        <v/>
      </c>
      <c r="C61" s="38" t="str">
        <f>Extrato26!C61</f>
        <v/>
      </c>
      <c r="D61" s="45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ht="22.5" customHeight="1">
      <c r="A62" s="37" t="str">
        <f>Extrato26!A62</f>
        <v/>
      </c>
      <c r="B62" s="38" t="str">
        <f>Extrato26!B62</f>
        <v/>
      </c>
      <c r="C62" s="38" t="str">
        <f>Extrato26!C62</f>
        <v/>
      </c>
      <c r="D62" s="4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ht="22.5" customHeight="1">
      <c r="A63" s="37" t="str">
        <f>Extrato26!A63</f>
        <v/>
      </c>
      <c r="B63" s="38" t="str">
        <f>Extrato26!B63</f>
        <v/>
      </c>
      <c r="C63" s="38" t="str">
        <f>Extrato26!C63</f>
        <v/>
      </c>
      <c r="D63" s="45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ht="22.5" customHeight="1">
      <c r="A64" s="37" t="str">
        <f>Extrato26!A64</f>
        <v/>
      </c>
      <c r="B64" s="38" t="str">
        <f>Extrato26!B64</f>
        <v/>
      </c>
      <c r="C64" s="38" t="str">
        <f>Extrato26!C64</f>
        <v/>
      </c>
      <c r="D64" s="4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ht="22.5" customHeight="1">
      <c r="A65" s="37" t="str">
        <f>Extrato26!A65</f>
        <v/>
      </c>
      <c r="B65" s="38" t="str">
        <f>Extrato26!B65</f>
        <v/>
      </c>
      <c r="C65" s="38" t="str">
        <f>Extrato26!C65</f>
        <v/>
      </c>
      <c r="D65" s="45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ht="22.5" customHeight="1">
      <c r="A66" s="37" t="str">
        <f>Extrato26!A66</f>
        <v/>
      </c>
      <c r="B66" s="38" t="str">
        <f>Extrato26!B66</f>
        <v/>
      </c>
      <c r="C66" s="38" t="str">
        <f>Extrato26!C66</f>
        <v/>
      </c>
      <c r="D66" s="4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ht="22.5" customHeight="1">
      <c r="A67" s="37" t="str">
        <f>Extrato26!A67</f>
        <v/>
      </c>
      <c r="B67" s="38" t="str">
        <f>Extrato26!B67</f>
        <v/>
      </c>
      <c r="C67" s="38" t="str">
        <f>Extrato26!C67</f>
        <v/>
      </c>
      <c r="D67" s="45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ht="22.5" customHeight="1">
      <c r="A68" s="37" t="str">
        <f>Extrato26!A68</f>
        <v/>
      </c>
      <c r="B68" s="38" t="str">
        <f>Extrato26!B68</f>
        <v/>
      </c>
      <c r="C68" s="38" t="str">
        <f>Extrato26!C68</f>
        <v/>
      </c>
      <c r="D68" s="4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ht="22.5" customHeight="1">
      <c r="A69" s="37" t="str">
        <f>Extrato26!A69</f>
        <v/>
      </c>
      <c r="B69" s="38" t="str">
        <f>Extrato26!B69</f>
        <v/>
      </c>
      <c r="C69" s="38" t="str">
        <f>Extrato26!C69</f>
        <v/>
      </c>
      <c r="D69" s="45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ht="22.5" customHeight="1">
      <c r="A70" s="37" t="str">
        <f>Extrato26!A70</f>
        <v/>
      </c>
      <c r="B70" s="38" t="str">
        <f>Extrato26!B70</f>
        <v/>
      </c>
      <c r="C70" s="38" t="str">
        <f>Extrato26!C70</f>
        <v/>
      </c>
      <c r="D70" s="4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ht="22.5" customHeight="1">
      <c r="A71" s="37" t="str">
        <f>Extrato26!A71</f>
        <v/>
      </c>
      <c r="B71" s="38" t="str">
        <f>Extrato26!B71</f>
        <v/>
      </c>
      <c r="C71" s="38" t="str">
        <f>Extrato26!C71</f>
        <v/>
      </c>
      <c r="D71" s="45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ht="22.5" customHeight="1">
      <c r="A72" s="37" t="str">
        <f>Extrato26!A72</f>
        <v/>
      </c>
      <c r="B72" s="38" t="str">
        <f>Extrato26!B72</f>
        <v/>
      </c>
      <c r="C72" s="38" t="str">
        <f>Extrato26!C72</f>
        <v/>
      </c>
      <c r="D72" s="4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ht="22.5" customHeight="1">
      <c r="A73" s="37" t="str">
        <f>Extrato26!A73</f>
        <v/>
      </c>
      <c r="B73" s="38" t="str">
        <f>Extrato26!B73</f>
        <v/>
      </c>
      <c r="C73" s="38" t="str">
        <f>Extrato26!C73</f>
        <v/>
      </c>
      <c r="D73" s="45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ht="22.5" customHeight="1">
      <c r="A74" s="37" t="str">
        <f>Extrato26!A74</f>
        <v/>
      </c>
      <c r="B74" s="38" t="str">
        <f>Extrato26!B74</f>
        <v/>
      </c>
      <c r="C74" s="38" t="str">
        <f>Extrato26!C74</f>
        <v/>
      </c>
      <c r="D74" s="4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ht="22.5" customHeight="1">
      <c r="A75" s="37" t="str">
        <f>Extrato26!A75</f>
        <v/>
      </c>
      <c r="B75" s="38" t="str">
        <f>Extrato26!B75</f>
        <v/>
      </c>
      <c r="C75" s="38" t="str">
        <f>Extrato26!C75</f>
        <v/>
      </c>
      <c r="D75" s="45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ht="22.5" customHeight="1">
      <c r="A76" s="37" t="str">
        <f>Extrato26!A76</f>
        <v/>
      </c>
      <c r="B76" s="38" t="str">
        <f>Extrato26!B76</f>
        <v/>
      </c>
      <c r="C76" s="38" t="str">
        <f>Extrato26!C76</f>
        <v/>
      </c>
      <c r="D76" s="4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ht="22.5" customHeight="1">
      <c r="A77" s="37" t="str">
        <f>Extrato26!A77</f>
        <v/>
      </c>
      <c r="B77" s="38" t="str">
        <f>Extrato26!B77</f>
        <v/>
      </c>
      <c r="C77" s="38" t="str">
        <f>Extrato26!C77</f>
        <v/>
      </c>
      <c r="D77" s="45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ht="22.5" customHeight="1">
      <c r="A78" s="37" t="str">
        <f>Extrato26!A78</f>
        <v/>
      </c>
      <c r="B78" s="38" t="str">
        <f>Extrato26!B78</f>
        <v/>
      </c>
      <c r="C78" s="38" t="str">
        <f>Extrato26!C78</f>
        <v/>
      </c>
      <c r="D78" s="4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ht="22.5" customHeight="1">
      <c r="A79" s="37" t="str">
        <f>Extrato26!A79</f>
        <v/>
      </c>
      <c r="B79" s="38" t="str">
        <f>Extrato26!B79</f>
        <v/>
      </c>
      <c r="C79" s="38" t="str">
        <f>Extrato26!C79</f>
        <v/>
      </c>
      <c r="D79" s="45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ht="22.5" customHeight="1">
      <c r="A80" s="37" t="str">
        <f>Extrato26!A80</f>
        <v/>
      </c>
      <c r="B80" s="38" t="str">
        <f>Extrato26!B80</f>
        <v/>
      </c>
      <c r="C80" s="38" t="str">
        <f>Extrato26!C80</f>
        <v/>
      </c>
      <c r="D80" s="4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ht="22.5" customHeight="1">
      <c r="A81" s="37" t="str">
        <f>Extrato26!A81</f>
        <v/>
      </c>
      <c r="B81" s="38" t="str">
        <f>Extrato26!B81</f>
        <v/>
      </c>
      <c r="C81" s="38" t="str">
        <f>Extrato26!C81</f>
        <v/>
      </c>
      <c r="D81" s="45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ht="22.5" customHeight="1">
      <c r="A82" s="37" t="str">
        <f>Extrato26!A82</f>
        <v/>
      </c>
      <c r="B82" s="38" t="str">
        <f>Extrato26!B82</f>
        <v/>
      </c>
      <c r="C82" s="38" t="str">
        <f>Extrato26!C82</f>
        <v/>
      </c>
      <c r="D82" s="47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ht="22.5" customHeight="1">
      <c r="A83" s="37" t="str">
        <f>Extrato26!A83</f>
        <v/>
      </c>
      <c r="B83" s="38" t="str">
        <f>Extrato26!B83</f>
        <v/>
      </c>
      <c r="C83" s="38" t="str">
        <f>Extrato26!C83</f>
        <v/>
      </c>
      <c r="D83" s="45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ht="22.5" customHeight="1">
      <c r="A84" s="37" t="str">
        <f>Extrato26!A84</f>
        <v/>
      </c>
      <c r="B84" s="38" t="str">
        <f>Extrato26!B84</f>
        <v/>
      </c>
      <c r="C84" s="38" t="str">
        <f>Extrato26!C84</f>
        <v/>
      </c>
      <c r="D84" s="4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ht="22.5" customHeight="1">
      <c r="A85" s="37" t="str">
        <f>Extrato26!A85</f>
        <v/>
      </c>
      <c r="B85" s="38" t="str">
        <f>Extrato26!B85</f>
        <v/>
      </c>
      <c r="C85" s="38" t="str">
        <f>Extrato26!C85</f>
        <v/>
      </c>
      <c r="D85" s="45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ht="22.5" customHeight="1">
      <c r="A86" s="37" t="str">
        <f>Extrato26!A86</f>
        <v/>
      </c>
      <c r="B86" s="38" t="str">
        <f>Extrato26!B86</f>
        <v/>
      </c>
      <c r="C86" s="38" t="str">
        <f>Extrato26!C86</f>
        <v/>
      </c>
      <c r="D86" s="4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ht="22.5" customHeight="1">
      <c r="A87" s="37" t="str">
        <f>Extrato26!A87</f>
        <v/>
      </c>
      <c r="B87" s="38" t="str">
        <f>Extrato26!B87</f>
        <v/>
      </c>
      <c r="C87" s="38" t="str">
        <f>Extrato26!C87</f>
        <v/>
      </c>
      <c r="D87" s="45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ht="22.5" customHeight="1">
      <c r="A88" s="37" t="str">
        <f>Extrato26!A88</f>
        <v/>
      </c>
      <c r="B88" s="38" t="str">
        <f>Extrato26!B88</f>
        <v/>
      </c>
      <c r="C88" s="38" t="str">
        <f>Extrato26!C88</f>
        <v/>
      </c>
      <c r="D88" s="4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ht="22.5" customHeight="1">
      <c r="A89" s="37" t="str">
        <f>Extrato26!A89</f>
        <v/>
      </c>
      <c r="B89" s="38" t="str">
        <f>Extrato26!B89</f>
        <v/>
      </c>
      <c r="C89" s="38" t="str">
        <f>Extrato26!C89</f>
        <v/>
      </c>
      <c r="D89" s="45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ht="22.5" customHeight="1">
      <c r="A90" s="37" t="str">
        <f>Extrato26!A90</f>
        <v/>
      </c>
      <c r="B90" s="38" t="str">
        <f>Extrato26!B90</f>
        <v/>
      </c>
      <c r="C90" s="38" t="str">
        <f>Extrato26!C90</f>
        <v/>
      </c>
      <c r="D90" s="4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ht="22.5" customHeight="1">
      <c r="A91" s="37" t="str">
        <f>Extrato26!A91</f>
        <v/>
      </c>
      <c r="B91" s="38" t="str">
        <f>Extrato26!B91</f>
        <v/>
      </c>
      <c r="C91" s="38" t="str">
        <f>Extrato26!C91</f>
        <v/>
      </c>
      <c r="D91" s="45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ht="22.5" customHeight="1">
      <c r="A92" s="37" t="str">
        <f>Extrato26!A92</f>
        <v/>
      </c>
      <c r="B92" s="38" t="str">
        <f>Extrato26!B92</f>
        <v/>
      </c>
      <c r="C92" s="38" t="str">
        <f>Extrato26!C92</f>
        <v/>
      </c>
      <c r="D92" s="4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ht="22.5" customHeight="1">
      <c r="A93" s="37" t="str">
        <f>Extrato26!A93</f>
        <v/>
      </c>
      <c r="B93" s="38" t="str">
        <f>Extrato26!B93</f>
        <v/>
      </c>
      <c r="C93" s="38" t="str">
        <f>Extrato26!C93</f>
        <v/>
      </c>
      <c r="D93" s="45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ht="22.5" customHeight="1">
      <c r="A94" s="37" t="str">
        <f>Extrato26!A94</f>
        <v/>
      </c>
      <c r="B94" s="38" t="str">
        <f>Extrato26!B94</f>
        <v/>
      </c>
      <c r="C94" s="38" t="str">
        <f>Extrato26!C94</f>
        <v/>
      </c>
      <c r="D94" s="4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ht="22.5" customHeight="1">
      <c r="A95" s="37" t="str">
        <f>Extrato26!A95</f>
        <v/>
      </c>
      <c r="B95" s="38" t="str">
        <f>Extrato26!B95</f>
        <v/>
      </c>
      <c r="C95" s="38" t="str">
        <f>Extrato26!C95</f>
        <v/>
      </c>
      <c r="D95" s="45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ht="22.5" customHeight="1">
      <c r="A96" s="37" t="str">
        <f>Extrato26!A96</f>
        <v/>
      </c>
      <c r="B96" s="38" t="str">
        <f>Extrato26!B96</f>
        <v/>
      </c>
      <c r="C96" s="38" t="str">
        <f>Extrato26!C96</f>
        <v/>
      </c>
      <c r="D96" s="4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ht="22.5" customHeight="1">
      <c r="A97" s="37" t="str">
        <f>Extrato26!A97</f>
        <v/>
      </c>
      <c r="B97" s="38" t="str">
        <f>Extrato26!B97</f>
        <v/>
      </c>
      <c r="C97" s="38" t="str">
        <f>Extrato26!C97</f>
        <v/>
      </c>
      <c r="D97" s="45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ht="22.5" customHeight="1">
      <c r="A98" s="37" t="str">
        <f>Extrato26!A98</f>
        <v/>
      </c>
      <c r="B98" s="38" t="str">
        <f>Extrato26!B98</f>
        <v/>
      </c>
      <c r="C98" s="38" t="str">
        <f>Extrato26!C98</f>
        <v/>
      </c>
      <c r="D98" s="4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ht="22.5" customHeight="1">
      <c r="A99" s="37" t="str">
        <f>Extrato26!A99</f>
        <v/>
      </c>
      <c r="B99" s="38" t="str">
        <f>Extrato26!B99</f>
        <v/>
      </c>
      <c r="C99" s="38" t="str">
        <f>Extrato26!C99</f>
        <v/>
      </c>
      <c r="D99" s="45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ht="22.5" customHeight="1">
      <c r="A100" s="37" t="str">
        <f>Extrato26!A100</f>
        <v/>
      </c>
      <c r="B100" s="38" t="str">
        <f>Extrato26!B100</f>
        <v/>
      </c>
      <c r="C100" s="38" t="str">
        <f>Extrato26!C100</f>
        <v/>
      </c>
      <c r="D100" s="4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ht="22.5" customHeight="1">
      <c r="A101" s="37" t="str">
        <f>Extrato26!A101</f>
        <v/>
      </c>
      <c r="B101" s="38" t="str">
        <f>Extrato26!B101</f>
        <v/>
      </c>
      <c r="C101" s="38" t="str">
        <f>Extrato26!C101</f>
        <v/>
      </c>
      <c r="D101" s="45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ht="22.5" customHeight="1">
      <c r="A102" s="37" t="str">
        <f>Extrato26!A102</f>
        <v/>
      </c>
      <c r="B102" s="38" t="str">
        <f>Extrato26!B102</f>
        <v/>
      </c>
      <c r="C102" s="38" t="str">
        <f>Extrato26!C102</f>
        <v/>
      </c>
      <c r="D102" s="4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ht="22.5" customHeight="1">
      <c r="A103" s="37" t="str">
        <f>Extrato26!A103</f>
        <v/>
      </c>
      <c r="B103" s="38" t="str">
        <f>Extrato26!B103</f>
        <v/>
      </c>
      <c r="C103" s="38" t="str">
        <f>Extrato26!C103</f>
        <v/>
      </c>
      <c r="D103" s="45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ht="22.5" customHeight="1">
      <c r="A104" s="37" t="str">
        <f>Extrato26!A104</f>
        <v/>
      </c>
      <c r="B104" s="38" t="str">
        <f>Extrato26!B104</f>
        <v/>
      </c>
      <c r="C104" s="38" t="str">
        <f>Extrato26!C104</f>
        <v/>
      </c>
      <c r="D104" s="4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ht="22.5" customHeight="1">
      <c r="A105" s="37" t="str">
        <f>Extrato26!A105</f>
        <v/>
      </c>
      <c r="B105" s="38" t="str">
        <f>Extrato26!B105</f>
        <v/>
      </c>
      <c r="C105" s="38" t="str">
        <f>Extrato26!C105</f>
        <v/>
      </c>
      <c r="D105" s="45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ht="22.5" customHeight="1">
      <c r="A106" s="37" t="str">
        <f>Extrato26!A106</f>
        <v/>
      </c>
      <c r="B106" s="38" t="str">
        <f>Extrato26!B106</f>
        <v/>
      </c>
      <c r="C106" s="38" t="str">
        <f>Extrato26!C106</f>
        <v/>
      </c>
      <c r="D106" s="4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ht="22.5" customHeight="1">
      <c r="A107" s="37" t="str">
        <f>Extrato26!A107</f>
        <v/>
      </c>
      <c r="B107" s="38" t="str">
        <f>Extrato26!B107</f>
        <v/>
      </c>
      <c r="C107" s="38" t="str">
        <f>Extrato26!C107</f>
        <v/>
      </c>
      <c r="D107" s="45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ht="22.5" customHeight="1">
      <c r="A108" s="37" t="str">
        <f>Extrato26!A108</f>
        <v/>
      </c>
      <c r="B108" s="38" t="str">
        <f>Extrato26!B108</f>
        <v/>
      </c>
      <c r="C108" s="38" t="str">
        <f>Extrato26!C108</f>
        <v/>
      </c>
      <c r="D108" s="4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ht="22.5" customHeight="1">
      <c r="A109" s="37" t="str">
        <f>Extrato26!A109</f>
        <v/>
      </c>
      <c r="B109" s="38" t="str">
        <f>Extrato26!B109</f>
        <v/>
      </c>
      <c r="C109" s="38" t="str">
        <f>Extrato26!C109</f>
        <v/>
      </c>
      <c r="D109" s="45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ht="22.5" customHeight="1">
      <c r="A110" s="37" t="str">
        <f>Extrato26!A110</f>
        <v/>
      </c>
      <c r="B110" s="38" t="str">
        <f>Extrato26!B110</f>
        <v/>
      </c>
      <c r="C110" s="38" t="str">
        <f>Extrato26!C110</f>
        <v/>
      </c>
      <c r="D110" s="4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ht="22.5" customHeight="1">
      <c r="A111" s="37" t="str">
        <f>Extrato26!A111</f>
        <v/>
      </c>
      <c r="B111" s="38" t="str">
        <f>Extrato26!B111</f>
        <v/>
      </c>
      <c r="C111" s="38" t="str">
        <f>Extrato26!C111</f>
        <v/>
      </c>
      <c r="D111" s="45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ht="22.5" customHeight="1">
      <c r="A112" s="37" t="str">
        <f>Extrato26!A112</f>
        <v/>
      </c>
      <c r="B112" s="38" t="str">
        <f>Extrato26!B112</f>
        <v/>
      </c>
      <c r="C112" s="38" t="str">
        <f>Extrato26!C112</f>
        <v/>
      </c>
      <c r="D112" s="4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ht="22.5" customHeight="1">
      <c r="A113" s="37" t="str">
        <f>Extrato26!A113</f>
        <v/>
      </c>
      <c r="B113" s="38" t="str">
        <f>Extrato26!B113</f>
        <v/>
      </c>
      <c r="C113" s="38" t="str">
        <f>Extrato26!C113</f>
        <v/>
      </c>
      <c r="D113" s="45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ht="22.5" customHeight="1">
      <c r="A114" s="37" t="str">
        <f>Extrato26!A114</f>
        <v/>
      </c>
      <c r="B114" s="38" t="str">
        <f>Extrato26!B114</f>
        <v/>
      </c>
      <c r="C114" s="38" t="str">
        <f>Extrato26!C114</f>
        <v/>
      </c>
      <c r="D114" s="4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ht="22.5" customHeight="1">
      <c r="A115" s="37" t="str">
        <f>Extrato26!A115</f>
        <v/>
      </c>
      <c r="B115" s="38" t="str">
        <f>Extrato26!B115</f>
        <v/>
      </c>
      <c r="C115" s="38" t="str">
        <f>Extrato26!C115</f>
        <v/>
      </c>
      <c r="D115" s="45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ht="22.5" customHeight="1">
      <c r="A116" s="37" t="str">
        <f>Extrato26!A116</f>
        <v/>
      </c>
      <c r="B116" s="38" t="str">
        <f>Extrato26!B116</f>
        <v/>
      </c>
      <c r="C116" s="38" t="str">
        <f>Extrato26!C116</f>
        <v/>
      </c>
      <c r="D116" s="4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ht="22.5" customHeight="1">
      <c r="A117" s="37" t="str">
        <f>Extrato26!A117</f>
        <v/>
      </c>
      <c r="B117" s="38" t="str">
        <f>Extrato26!B117</f>
        <v/>
      </c>
      <c r="C117" s="38" t="str">
        <f>Extrato26!C117</f>
        <v/>
      </c>
      <c r="D117" s="45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ht="22.5" customHeight="1">
      <c r="A118" s="37" t="str">
        <f>Extrato26!A118</f>
        <v/>
      </c>
      <c r="B118" s="38" t="str">
        <f>Extrato26!B118</f>
        <v/>
      </c>
      <c r="C118" s="38" t="str">
        <f>Extrato26!C118</f>
        <v/>
      </c>
      <c r="D118" s="4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ht="22.5" customHeight="1">
      <c r="A119" s="37" t="str">
        <f>Extrato26!A119</f>
        <v/>
      </c>
      <c r="B119" s="38" t="str">
        <f>Extrato26!B119</f>
        <v/>
      </c>
      <c r="C119" s="38" t="str">
        <f>Extrato26!C119</f>
        <v/>
      </c>
      <c r="D119" s="45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ht="22.5" customHeight="1">
      <c r="A120" s="37" t="str">
        <f>Extrato26!A120</f>
        <v/>
      </c>
      <c r="B120" s="38" t="str">
        <f>Extrato26!B120</f>
        <v/>
      </c>
      <c r="C120" s="38" t="str">
        <f>Extrato26!C120</f>
        <v/>
      </c>
      <c r="D120" s="4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ht="22.5" customHeight="1">
      <c r="A121" s="37" t="str">
        <f>Extrato26!A121</f>
        <v/>
      </c>
      <c r="B121" s="38" t="str">
        <f>Extrato26!B121</f>
        <v/>
      </c>
      <c r="C121" s="38" t="str">
        <f>Extrato26!C121</f>
        <v/>
      </c>
      <c r="D121" s="45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ht="22.5" customHeight="1">
      <c r="A122" s="37" t="str">
        <f>Extrato26!A122</f>
        <v/>
      </c>
      <c r="B122" s="38" t="str">
        <f>Extrato26!B122</f>
        <v/>
      </c>
      <c r="C122" s="38" t="str">
        <f>Extrato26!C122</f>
        <v/>
      </c>
      <c r="D122" s="4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ht="22.5" customHeight="1">
      <c r="A123" s="37" t="str">
        <f>Extrato26!A123</f>
        <v/>
      </c>
      <c r="B123" s="38" t="str">
        <f>Extrato26!B123</f>
        <v/>
      </c>
      <c r="C123" s="38" t="str">
        <f>Extrato26!C123</f>
        <v/>
      </c>
      <c r="D123" s="45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ht="22.5" customHeight="1">
      <c r="A124" s="37" t="str">
        <f>Extrato26!A124</f>
        <v/>
      </c>
      <c r="B124" s="38" t="str">
        <f>Extrato26!B124</f>
        <v/>
      </c>
      <c r="C124" s="38" t="str">
        <f>Extrato26!C124</f>
        <v/>
      </c>
      <c r="D124" s="4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ht="22.5" customHeight="1">
      <c r="A125" s="37" t="str">
        <f>Extrato26!A125</f>
        <v/>
      </c>
      <c r="B125" s="38" t="str">
        <f>Extrato26!B125</f>
        <v/>
      </c>
      <c r="C125" s="38" t="str">
        <f>Extrato26!C125</f>
        <v/>
      </c>
      <c r="D125" s="48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ht="22.5" customHeight="1">
      <c r="A126" s="37" t="str">
        <f>Extrato26!A126</f>
        <v/>
      </c>
      <c r="B126" s="38" t="str">
        <f>Extrato26!B126</f>
        <v/>
      </c>
      <c r="C126" s="38" t="str">
        <f>Extrato26!C126</f>
        <v/>
      </c>
      <c r="D126" s="49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ht="22.5" customHeight="1">
      <c r="A127" s="37" t="str">
        <f>Extrato26!A127</f>
        <v/>
      </c>
      <c r="B127" s="38" t="str">
        <f>Extrato26!B127</f>
        <v/>
      </c>
      <c r="C127" s="38" t="str">
        <f>Extrato26!C127</f>
        <v/>
      </c>
      <c r="D127" s="48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ht="22.5" customHeight="1">
      <c r="A128" s="37" t="str">
        <f>Extrato26!A128</f>
        <v/>
      </c>
      <c r="B128" s="38" t="str">
        <f>Extrato26!B128</f>
        <v/>
      </c>
      <c r="C128" s="38" t="str">
        <f>Extrato26!C128</f>
        <v/>
      </c>
      <c r="D128" s="49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ht="22.5" customHeight="1">
      <c r="A129" s="37" t="str">
        <f>Extrato26!A129</f>
        <v/>
      </c>
      <c r="B129" s="38" t="str">
        <f>Extrato26!B129</f>
        <v/>
      </c>
      <c r="C129" s="38" t="str">
        <f>Extrato26!C129</f>
        <v/>
      </c>
      <c r="D129" s="48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ht="22.5" customHeight="1">
      <c r="A130" s="37" t="str">
        <f>Extrato26!A130</f>
        <v/>
      </c>
      <c r="B130" s="38" t="str">
        <f>Extrato26!B130</f>
        <v/>
      </c>
      <c r="C130" s="38" t="str">
        <f>Extrato26!C130</f>
        <v/>
      </c>
      <c r="D130" s="49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ht="22.5" customHeight="1">
      <c r="A131" s="37" t="str">
        <f>Extrato26!A131</f>
        <v/>
      </c>
      <c r="B131" s="38" t="str">
        <f>Extrato26!B131</f>
        <v/>
      </c>
      <c r="C131" s="38" t="str">
        <f>Extrato26!C131</f>
        <v/>
      </c>
      <c r="D131" s="48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ht="22.5" customHeight="1">
      <c r="A132" s="37" t="str">
        <f>Extrato26!A132</f>
        <v/>
      </c>
      <c r="B132" s="38" t="str">
        <f>Extrato26!B132</f>
        <v/>
      </c>
      <c r="C132" s="38" t="str">
        <f>Extrato26!C132</f>
        <v/>
      </c>
      <c r="D132" s="49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ht="22.5" customHeight="1">
      <c r="A133" s="37" t="str">
        <f>Extrato26!A133</f>
        <v/>
      </c>
      <c r="B133" s="38" t="str">
        <f>Extrato26!B133</f>
        <v/>
      </c>
      <c r="C133" s="38" t="str">
        <f>Extrato26!C133</f>
        <v/>
      </c>
      <c r="D133" s="48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ht="22.5" customHeight="1">
      <c r="A134" s="37" t="str">
        <f>Extrato26!A134</f>
        <v/>
      </c>
      <c r="B134" s="38" t="str">
        <f>Extrato26!B134</f>
        <v/>
      </c>
      <c r="C134" s="38" t="str">
        <f>Extrato26!C134</f>
        <v/>
      </c>
      <c r="D134" s="49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ht="22.5" customHeight="1">
      <c r="A135" s="37" t="str">
        <f>Extrato26!A135</f>
        <v/>
      </c>
      <c r="B135" s="38" t="str">
        <f>Extrato26!B135</f>
        <v/>
      </c>
      <c r="C135" s="38" t="str">
        <f>Extrato26!C135</f>
        <v/>
      </c>
      <c r="D135" s="48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ht="22.5" customHeight="1">
      <c r="A136" s="37" t="str">
        <f>Extrato26!A136</f>
        <v/>
      </c>
      <c r="B136" s="38" t="str">
        <f>Extrato26!B136</f>
        <v/>
      </c>
      <c r="C136" s="38" t="str">
        <f>Extrato26!C136</f>
        <v/>
      </c>
      <c r="D136" s="49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ht="22.5" customHeight="1">
      <c r="A137" s="37" t="str">
        <f>Extrato26!A137</f>
        <v/>
      </c>
      <c r="B137" s="38" t="str">
        <f>Extrato26!B137</f>
        <v/>
      </c>
      <c r="C137" s="38" t="str">
        <f>Extrato26!C137</f>
        <v/>
      </c>
      <c r="D137" s="48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ht="22.5" customHeight="1">
      <c r="A138" s="37" t="str">
        <f>Extrato26!A138</f>
        <v/>
      </c>
      <c r="B138" s="38" t="str">
        <f>Extrato26!B138</f>
        <v/>
      </c>
      <c r="C138" s="38" t="str">
        <f>Extrato26!C138</f>
        <v/>
      </c>
      <c r="D138" s="49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ht="22.5" customHeight="1">
      <c r="A139" s="37" t="str">
        <f>Extrato26!A139</f>
        <v/>
      </c>
      <c r="B139" s="38" t="str">
        <f>Extrato26!B139</f>
        <v/>
      </c>
      <c r="C139" s="38" t="str">
        <f>Extrato26!C139</f>
        <v/>
      </c>
      <c r="D139" s="48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ht="22.5" customHeight="1">
      <c r="A140" s="37" t="str">
        <f>Extrato26!A140</f>
        <v/>
      </c>
      <c r="B140" s="38" t="str">
        <f>Extrato26!B140</f>
        <v/>
      </c>
      <c r="C140" s="38" t="str">
        <f>Extrato26!C140</f>
        <v/>
      </c>
      <c r="D140" s="49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ht="22.5" customHeight="1">
      <c r="A141" s="37" t="str">
        <f>Extrato26!A141</f>
        <v/>
      </c>
      <c r="B141" s="38" t="str">
        <f>Extrato26!B141</f>
        <v/>
      </c>
      <c r="C141" s="38" t="str">
        <f>Extrato26!C141</f>
        <v/>
      </c>
      <c r="D141" s="48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ht="22.5" customHeight="1">
      <c r="A142" s="37" t="str">
        <f>Extrato26!A142</f>
        <v/>
      </c>
      <c r="B142" s="38" t="str">
        <f>Extrato26!B142</f>
        <v/>
      </c>
      <c r="C142" s="38" t="str">
        <f>Extrato26!C142</f>
        <v/>
      </c>
      <c r="D142" s="49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ht="22.5" customHeight="1">
      <c r="A143" s="37" t="str">
        <f>Extrato26!A143</f>
        <v/>
      </c>
      <c r="B143" s="38" t="str">
        <f>Extrato26!B143</f>
        <v/>
      </c>
      <c r="C143" s="38" t="str">
        <f>Extrato26!C143</f>
        <v/>
      </c>
      <c r="D143" s="48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ht="22.5" customHeight="1">
      <c r="A144" s="37" t="str">
        <f>Extrato26!A144</f>
        <v/>
      </c>
      <c r="B144" s="38" t="str">
        <f>Extrato26!B144</f>
        <v/>
      </c>
      <c r="C144" s="38" t="str">
        <f>Extrato26!C144</f>
        <v/>
      </c>
      <c r="D144" s="49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ht="22.5" customHeight="1">
      <c r="A145" s="37" t="str">
        <f>Extrato26!A145</f>
        <v/>
      </c>
      <c r="B145" s="38" t="str">
        <f>Extrato26!B145</f>
        <v/>
      </c>
      <c r="C145" s="38" t="str">
        <f>Extrato26!C145</f>
        <v/>
      </c>
      <c r="D145" s="48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ht="22.5" customHeight="1">
      <c r="A146" s="37" t="str">
        <f>Extrato26!A146</f>
        <v/>
      </c>
      <c r="B146" s="38" t="str">
        <f>Extrato26!B146</f>
        <v/>
      </c>
      <c r="C146" s="38" t="str">
        <f>Extrato26!C146</f>
        <v/>
      </c>
      <c r="D146" s="49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ht="22.5" customHeight="1">
      <c r="A147" s="37" t="str">
        <f>Extrato26!A147</f>
        <v/>
      </c>
      <c r="B147" s="38" t="str">
        <f>Extrato26!B147</f>
        <v/>
      </c>
      <c r="C147" s="38" t="str">
        <f>Extrato26!C147</f>
        <v/>
      </c>
      <c r="D147" s="48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ht="22.5" customHeight="1">
      <c r="A148" s="37" t="str">
        <f>Extrato26!A148</f>
        <v/>
      </c>
      <c r="B148" s="38" t="str">
        <f>Extrato26!B148</f>
        <v/>
      </c>
      <c r="C148" s="38" t="str">
        <f>Extrato26!C148</f>
        <v/>
      </c>
      <c r="D148" s="49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ht="22.5" customHeight="1">
      <c r="A149" s="37" t="str">
        <f>Extrato26!A149</f>
        <v/>
      </c>
      <c r="B149" s="38" t="str">
        <f>Extrato26!B149</f>
        <v/>
      </c>
      <c r="C149" s="38" t="str">
        <f>Extrato26!C149</f>
        <v/>
      </c>
      <c r="D149" s="48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ht="22.5" customHeight="1">
      <c r="A150" s="37" t="str">
        <f>Extrato26!A150</f>
        <v/>
      </c>
      <c r="B150" s="38" t="str">
        <f>Extrato26!B150</f>
        <v/>
      </c>
      <c r="C150" s="38" t="str">
        <f>Extrato26!C150</f>
        <v/>
      </c>
      <c r="D150" s="49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ht="22.5" customHeight="1">
      <c r="A151" s="37" t="str">
        <f>Extrato26!A151</f>
        <v/>
      </c>
      <c r="B151" s="38" t="str">
        <f>Extrato26!B151</f>
        <v/>
      </c>
      <c r="C151" s="38" t="str">
        <f>Extrato26!C151</f>
        <v/>
      </c>
      <c r="D151" s="48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ht="22.5" customHeight="1">
      <c r="A152" s="37" t="str">
        <f>Extrato26!A152</f>
        <v/>
      </c>
      <c r="B152" s="38" t="str">
        <f>Extrato26!B152</f>
        <v/>
      </c>
      <c r="C152" s="38" t="str">
        <f>Extrato26!C152</f>
        <v/>
      </c>
      <c r="D152" s="49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ht="22.5" customHeight="1">
      <c r="A153" s="37" t="str">
        <f>Extrato26!A153</f>
        <v/>
      </c>
      <c r="B153" s="38" t="str">
        <f>Extrato26!B153</f>
        <v/>
      </c>
      <c r="C153" s="38" t="str">
        <f>Extrato26!C153</f>
        <v/>
      </c>
      <c r="D153" s="48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ht="22.5" customHeight="1">
      <c r="A154" s="37" t="str">
        <f>Extrato26!A154</f>
        <v/>
      </c>
      <c r="B154" s="38" t="str">
        <f>Extrato26!B154</f>
        <v/>
      </c>
      <c r="C154" s="38" t="str">
        <f>Extrato26!C154</f>
        <v/>
      </c>
      <c r="D154" s="49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ht="22.5" customHeight="1">
      <c r="A155" s="37" t="str">
        <f>Extrato26!A155</f>
        <v/>
      </c>
      <c r="B155" s="38" t="str">
        <f>Extrato26!B155</f>
        <v/>
      </c>
      <c r="C155" s="38" t="str">
        <f>Extrato26!C155</f>
        <v/>
      </c>
      <c r="D155" s="48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ht="22.5" customHeight="1">
      <c r="A156" s="37" t="str">
        <f>Extrato26!A156</f>
        <v/>
      </c>
      <c r="B156" s="38" t="str">
        <f>Extrato26!B156</f>
        <v/>
      </c>
      <c r="C156" s="38" t="str">
        <f>Extrato26!C156</f>
        <v/>
      </c>
      <c r="D156" s="49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ht="22.5" customHeight="1">
      <c r="A157" s="37" t="str">
        <f>Extrato26!A157</f>
        <v/>
      </c>
      <c r="B157" s="38" t="str">
        <f>Extrato26!B157</f>
        <v/>
      </c>
      <c r="C157" s="38" t="str">
        <f>Extrato26!C157</f>
        <v/>
      </c>
      <c r="D157" s="48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ht="22.5" customHeight="1">
      <c r="A158" s="37" t="str">
        <f>Extrato26!A158</f>
        <v/>
      </c>
      <c r="B158" s="38" t="str">
        <f>Extrato26!B158</f>
        <v/>
      </c>
      <c r="C158" s="38" t="str">
        <f>Extrato26!C158</f>
        <v/>
      </c>
      <c r="D158" s="49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ht="22.5" customHeight="1">
      <c r="A159" s="37" t="str">
        <f>Extrato26!A159</f>
        <v/>
      </c>
      <c r="B159" s="38" t="str">
        <f>Extrato26!B159</f>
        <v/>
      </c>
      <c r="C159" s="38" t="str">
        <f>Extrato26!C159</f>
        <v/>
      </c>
      <c r="D159" s="48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ht="22.5" customHeight="1">
      <c r="A160" s="37" t="str">
        <f>Extrato26!A160</f>
        <v/>
      </c>
      <c r="B160" s="38" t="str">
        <f>Extrato26!B160</f>
        <v/>
      </c>
      <c r="C160" s="38" t="str">
        <f>Extrato26!C160</f>
        <v/>
      </c>
      <c r="D160" s="49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ht="22.5" customHeight="1">
      <c r="A161" s="37" t="str">
        <f>Extrato26!A161</f>
        <v/>
      </c>
      <c r="B161" s="38" t="str">
        <f>Extrato26!B161</f>
        <v/>
      </c>
      <c r="C161" s="38" t="str">
        <f>Extrato26!C161</f>
        <v/>
      </c>
      <c r="D161" s="48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ht="22.5" customHeight="1">
      <c r="A162" s="37" t="str">
        <f>Extrato26!A162</f>
        <v/>
      </c>
      <c r="B162" s="38" t="str">
        <f>Extrato26!B162</f>
        <v/>
      </c>
      <c r="C162" s="38" t="str">
        <f>Extrato26!C162</f>
        <v/>
      </c>
      <c r="D162" s="49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ht="22.5" customHeight="1">
      <c r="A163" s="37" t="str">
        <f>Extrato26!A163</f>
        <v/>
      </c>
      <c r="B163" s="38" t="str">
        <f>Extrato26!B163</f>
        <v/>
      </c>
      <c r="C163" s="38" t="str">
        <f>Extrato26!C163</f>
        <v/>
      </c>
      <c r="D163" s="48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ht="22.5" customHeight="1">
      <c r="A164" s="37" t="str">
        <f>Extrato26!A164</f>
        <v/>
      </c>
      <c r="B164" s="38" t="str">
        <f>Extrato26!B164</f>
        <v/>
      </c>
      <c r="C164" s="38" t="str">
        <f>Extrato26!C164</f>
        <v/>
      </c>
      <c r="D164" s="49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ht="22.5" customHeight="1">
      <c r="A165" s="37" t="str">
        <f>Extrato26!A165</f>
        <v/>
      </c>
      <c r="B165" s="38" t="str">
        <f>Extrato26!B165</f>
        <v/>
      </c>
      <c r="C165" s="38" t="str">
        <f>Extrato26!C165</f>
        <v/>
      </c>
      <c r="D165" s="48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ht="22.5" customHeight="1">
      <c r="A166" s="37" t="str">
        <f>Extrato26!A166</f>
        <v/>
      </c>
      <c r="B166" s="38" t="str">
        <f>Extrato26!B166</f>
        <v/>
      </c>
      <c r="C166" s="38" t="str">
        <f>Extrato26!C166</f>
        <v/>
      </c>
      <c r="D166" s="49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ht="22.5" customHeight="1">
      <c r="A167" s="37" t="str">
        <f>Extrato26!A167</f>
        <v/>
      </c>
      <c r="B167" s="38" t="str">
        <f>Extrato26!B167</f>
        <v/>
      </c>
      <c r="C167" s="38" t="str">
        <f>Extrato26!C167</f>
        <v/>
      </c>
      <c r="D167" s="48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ht="22.5" customHeight="1">
      <c r="A168" s="37" t="str">
        <f>Extrato26!A168</f>
        <v/>
      </c>
      <c r="B168" s="38" t="str">
        <f>Extrato26!B168</f>
        <v/>
      </c>
      <c r="C168" s="38" t="str">
        <f>Extrato26!C168</f>
        <v/>
      </c>
      <c r="D168" s="49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ht="22.5" customHeight="1">
      <c r="A169" s="37" t="str">
        <f>Extrato26!A169</f>
        <v/>
      </c>
      <c r="B169" s="38" t="str">
        <f>Extrato26!B169</f>
        <v/>
      </c>
      <c r="C169" s="38" t="str">
        <f>Extrato26!C169</f>
        <v/>
      </c>
      <c r="D169" s="48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ht="22.5" customHeight="1">
      <c r="A170" s="37" t="str">
        <f>Extrato26!A170</f>
        <v/>
      </c>
      <c r="B170" s="38" t="str">
        <f>Extrato26!B170</f>
        <v/>
      </c>
      <c r="C170" s="38" t="str">
        <f>Extrato26!C170</f>
        <v/>
      </c>
      <c r="D170" s="49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ht="22.5" customHeight="1">
      <c r="A171" s="37" t="str">
        <f>Extrato26!A171</f>
        <v/>
      </c>
      <c r="B171" s="38" t="str">
        <f>Extrato26!B171</f>
        <v/>
      </c>
      <c r="C171" s="38" t="str">
        <f>Extrato26!C171</f>
        <v/>
      </c>
      <c r="D171" s="48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ht="22.5" customHeight="1">
      <c r="A172" s="37" t="str">
        <f>Extrato26!A172</f>
        <v/>
      </c>
      <c r="B172" s="38" t="str">
        <f>Extrato26!B172</f>
        <v/>
      </c>
      <c r="C172" s="38" t="str">
        <f>Extrato26!C172</f>
        <v/>
      </c>
      <c r="D172" s="49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ht="22.5" customHeight="1">
      <c r="A173" s="37" t="str">
        <f>Extrato26!A173</f>
        <v/>
      </c>
      <c r="B173" s="38" t="str">
        <f>Extrato26!B173</f>
        <v/>
      </c>
      <c r="C173" s="38" t="str">
        <f>Extrato26!C173</f>
        <v/>
      </c>
      <c r="D173" s="48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ht="22.5" customHeight="1">
      <c r="A174" s="37" t="str">
        <f>Extrato26!A174</f>
        <v/>
      </c>
      <c r="B174" s="38" t="str">
        <f>Extrato26!B174</f>
        <v/>
      </c>
      <c r="C174" s="38" t="str">
        <f>Extrato26!C174</f>
        <v/>
      </c>
      <c r="D174" s="49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ht="22.5" customHeight="1">
      <c r="A175" s="37" t="str">
        <f>Extrato26!A175</f>
        <v/>
      </c>
      <c r="B175" s="38" t="str">
        <f>Extrato26!B175</f>
        <v/>
      </c>
      <c r="C175" s="38" t="str">
        <f>Extrato26!C175</f>
        <v/>
      </c>
      <c r="D175" s="48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ht="22.5" customHeight="1">
      <c r="A176" s="37" t="str">
        <f>Extrato26!A176</f>
        <v/>
      </c>
      <c r="B176" s="38" t="str">
        <f>Extrato26!B176</f>
        <v/>
      </c>
      <c r="C176" s="38" t="str">
        <f>Extrato26!C176</f>
        <v/>
      </c>
      <c r="D176" s="49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ht="22.5" customHeight="1">
      <c r="A177" s="37" t="str">
        <f>Extrato26!A177</f>
        <v/>
      </c>
      <c r="B177" s="38" t="str">
        <f>Extrato26!B177</f>
        <v/>
      </c>
      <c r="C177" s="38" t="str">
        <f>Extrato26!C177</f>
        <v/>
      </c>
      <c r="D177" s="48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ht="22.5" customHeight="1">
      <c r="A178" s="37" t="str">
        <f>Extrato26!A178</f>
        <v/>
      </c>
      <c r="B178" s="38" t="str">
        <f>Extrato26!B178</f>
        <v/>
      </c>
      <c r="C178" s="38" t="str">
        <f>Extrato26!C178</f>
        <v/>
      </c>
      <c r="D178" s="49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ht="22.5" customHeight="1">
      <c r="A179" s="37" t="str">
        <f>Extrato26!A179</f>
        <v/>
      </c>
      <c r="B179" s="38" t="str">
        <f>Extrato26!B179</f>
        <v/>
      </c>
      <c r="C179" s="38" t="str">
        <f>Extrato26!C179</f>
        <v/>
      </c>
      <c r="D179" s="48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ht="22.5" customHeight="1">
      <c r="A180" s="37" t="str">
        <f>Extrato26!A180</f>
        <v/>
      </c>
      <c r="B180" s="38" t="str">
        <f>Extrato26!B180</f>
        <v/>
      </c>
      <c r="C180" s="38" t="str">
        <f>Extrato26!C180</f>
        <v/>
      </c>
      <c r="D180" s="49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ht="22.5" customHeight="1">
      <c r="A181" s="37" t="str">
        <f>Extrato26!A181</f>
        <v/>
      </c>
      <c r="B181" s="38" t="str">
        <f>Extrato26!B181</f>
        <v/>
      </c>
      <c r="C181" s="38" t="str">
        <f>Extrato26!C181</f>
        <v/>
      </c>
      <c r="D181" s="48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ht="22.5" customHeight="1">
      <c r="A182" s="37" t="str">
        <f>Extrato26!A182</f>
        <v/>
      </c>
      <c r="B182" s="38" t="str">
        <f>Extrato26!B182</f>
        <v/>
      </c>
      <c r="C182" s="38" t="str">
        <f>Extrato26!C182</f>
        <v/>
      </c>
      <c r="D182" s="49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ht="22.5" customHeight="1">
      <c r="A183" s="37" t="str">
        <f>Extrato26!A183</f>
        <v/>
      </c>
      <c r="B183" s="38" t="str">
        <f>Extrato26!B183</f>
        <v/>
      </c>
      <c r="C183" s="38" t="str">
        <f>Extrato26!C183</f>
        <v/>
      </c>
      <c r="D183" s="48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ht="22.5" customHeight="1">
      <c r="A184" s="37" t="str">
        <f>Extrato26!A184</f>
        <v/>
      </c>
      <c r="B184" s="38" t="str">
        <f>Extrato26!B184</f>
        <v/>
      </c>
      <c r="C184" s="38" t="str">
        <f>Extrato26!C184</f>
        <v/>
      </c>
      <c r="D184" s="49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ht="22.5" customHeight="1">
      <c r="A185" s="37" t="str">
        <f>Extrato26!A185</f>
        <v/>
      </c>
      <c r="B185" s="38" t="str">
        <f>Extrato26!B185</f>
        <v/>
      </c>
      <c r="C185" s="38" t="str">
        <f>Extrato26!C185</f>
        <v/>
      </c>
      <c r="D185" s="48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ht="22.5" customHeight="1">
      <c r="A186" s="37" t="str">
        <f>Extrato26!A186</f>
        <v/>
      </c>
      <c r="B186" s="38" t="str">
        <f>Extrato26!B186</f>
        <v/>
      </c>
      <c r="C186" s="38" t="str">
        <f>Extrato26!C186</f>
        <v/>
      </c>
      <c r="D186" s="49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ht="22.5" customHeight="1">
      <c r="A187" s="37" t="str">
        <f>Extrato26!A187</f>
        <v/>
      </c>
      <c r="B187" s="38" t="str">
        <f>Extrato26!B187</f>
        <v/>
      </c>
      <c r="C187" s="38" t="str">
        <f>Extrato26!C187</f>
        <v/>
      </c>
      <c r="D187" s="48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ht="22.5" customHeight="1">
      <c r="A188" s="37" t="str">
        <f>Extrato26!A188</f>
        <v/>
      </c>
      <c r="B188" s="38" t="str">
        <f>Extrato26!B188</f>
        <v/>
      </c>
      <c r="C188" s="38" t="str">
        <f>Extrato26!C188</f>
        <v/>
      </c>
      <c r="D188" s="49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ht="22.5" customHeight="1">
      <c r="A189" s="37" t="str">
        <f>Extrato26!A189</f>
        <v/>
      </c>
      <c r="B189" s="38" t="str">
        <f>Extrato26!B189</f>
        <v/>
      </c>
      <c r="C189" s="38" t="str">
        <f>Extrato26!C189</f>
        <v/>
      </c>
      <c r="D189" s="48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ht="22.5" customHeight="1">
      <c r="A190" s="37" t="str">
        <f>Extrato26!A190</f>
        <v/>
      </c>
      <c r="B190" s="38" t="str">
        <f>Extrato26!B190</f>
        <v/>
      </c>
      <c r="C190" s="38" t="str">
        <f>Extrato26!C190</f>
        <v/>
      </c>
      <c r="D190" s="49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ht="22.5" customHeight="1">
      <c r="A191" s="37" t="str">
        <f>Extrato26!A191</f>
        <v/>
      </c>
      <c r="B191" s="38" t="str">
        <f>Extrato26!B191</f>
        <v/>
      </c>
      <c r="C191" s="38" t="str">
        <f>Extrato26!C191</f>
        <v/>
      </c>
      <c r="D191" s="48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ht="22.5" customHeight="1">
      <c r="A192" s="37" t="str">
        <f>Extrato26!A192</f>
        <v/>
      </c>
      <c r="B192" s="38" t="str">
        <f>Extrato26!B192</f>
        <v/>
      </c>
      <c r="C192" s="38" t="str">
        <f>Extrato26!C192</f>
        <v/>
      </c>
      <c r="D192" s="49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ht="22.5" customHeight="1">
      <c r="A193" s="37" t="str">
        <f>Extrato26!A193</f>
        <v/>
      </c>
      <c r="B193" s="38" t="str">
        <f>Extrato26!B193</f>
        <v/>
      </c>
      <c r="C193" s="38" t="str">
        <f>Extrato26!C193</f>
        <v/>
      </c>
      <c r="D193" s="48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ht="22.5" customHeight="1">
      <c r="A194" s="37" t="str">
        <f>Extrato26!A194</f>
        <v/>
      </c>
      <c r="B194" s="38" t="str">
        <f>Extrato26!B194</f>
        <v/>
      </c>
      <c r="C194" s="38" t="str">
        <f>Extrato26!C194</f>
        <v/>
      </c>
      <c r="D194" s="49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ht="22.5" customHeight="1">
      <c r="A195" s="37" t="str">
        <f>Extrato26!A195</f>
        <v/>
      </c>
      <c r="B195" s="38" t="str">
        <f>Extrato26!B195</f>
        <v/>
      </c>
      <c r="C195" s="38" t="str">
        <f>Extrato26!C195</f>
        <v/>
      </c>
      <c r="D195" s="48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ht="22.5" customHeight="1">
      <c r="A196" s="37" t="str">
        <f>Extrato26!A196</f>
        <v/>
      </c>
      <c r="B196" s="38" t="str">
        <f>Extrato26!B196</f>
        <v/>
      </c>
      <c r="C196" s="38" t="str">
        <f>Extrato26!C196</f>
        <v/>
      </c>
      <c r="D196" s="49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ht="22.5" customHeight="1">
      <c r="A197" s="37" t="str">
        <f>Extrato26!A197</f>
        <v/>
      </c>
      <c r="B197" s="38" t="str">
        <f>Extrato26!B197</f>
        <v/>
      </c>
      <c r="C197" s="38" t="str">
        <f>Extrato26!C197</f>
        <v/>
      </c>
      <c r="D197" s="48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ht="22.5" customHeight="1">
      <c r="A198" s="37" t="str">
        <f>Extrato26!A198</f>
        <v/>
      </c>
      <c r="B198" s="38" t="str">
        <f>Extrato26!B198</f>
        <v/>
      </c>
      <c r="C198" s="38" t="str">
        <f>Extrato26!C198</f>
        <v/>
      </c>
      <c r="D198" s="49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ht="22.5" customHeight="1">
      <c r="A199" s="37" t="str">
        <f>Extrato26!A199</f>
        <v/>
      </c>
      <c r="B199" s="38" t="str">
        <f>Extrato26!B199</f>
        <v/>
      </c>
      <c r="C199" s="38" t="str">
        <f>Extrato26!C199</f>
        <v/>
      </c>
      <c r="D199" s="48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ht="22.5" customHeight="1">
      <c r="A200" s="37" t="str">
        <f>Extrato26!A200</f>
        <v/>
      </c>
      <c r="B200" s="38" t="str">
        <f>Extrato26!B200</f>
        <v/>
      </c>
      <c r="C200" s="38" t="str">
        <f>Extrato26!C200</f>
        <v/>
      </c>
      <c r="D200" s="49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ht="22.5" customHeight="1">
      <c r="A201" s="37" t="str">
        <f>Extrato26!A201</f>
        <v/>
      </c>
      <c r="B201" s="38" t="str">
        <f>Extrato26!B201</f>
        <v/>
      </c>
      <c r="C201" s="38" t="str">
        <f>Extrato26!C201</f>
        <v/>
      </c>
      <c r="D201" s="48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ht="22.5" customHeight="1">
      <c r="A202" s="37" t="str">
        <f>Extrato26!A202</f>
        <v/>
      </c>
      <c r="B202" s="38" t="str">
        <f>Extrato26!B202</f>
        <v/>
      </c>
      <c r="C202" s="38" t="str">
        <f>Extrato26!C202</f>
        <v/>
      </c>
      <c r="D202" s="49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ht="22.5" customHeight="1">
      <c r="A203" s="37" t="str">
        <f>Extrato26!A203</f>
        <v/>
      </c>
      <c r="B203" s="38" t="str">
        <f>Extrato26!B203</f>
        <v/>
      </c>
      <c r="C203" s="38" t="str">
        <f>Extrato26!C203</f>
        <v/>
      </c>
      <c r="D203" s="48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ht="22.5" customHeight="1">
      <c r="A204" s="37" t="str">
        <f>Extrato26!A204</f>
        <v/>
      </c>
      <c r="B204" s="38" t="str">
        <f>Extrato26!B204</f>
        <v/>
      </c>
      <c r="C204" s="38" t="str">
        <f>Extrato26!C204</f>
        <v/>
      </c>
      <c r="D204" s="49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ht="22.5" customHeight="1">
      <c r="A205" s="37" t="str">
        <f>Extrato26!A205</f>
        <v/>
      </c>
      <c r="B205" s="38" t="str">
        <f>Extrato26!B205</f>
        <v/>
      </c>
      <c r="C205" s="38" t="str">
        <f>Extrato26!C205</f>
        <v/>
      </c>
      <c r="D205" s="48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ht="22.5" customHeight="1">
      <c r="A206" s="37" t="str">
        <f>Extrato26!A206</f>
        <v/>
      </c>
      <c r="B206" s="38" t="str">
        <f>Extrato26!B206</f>
        <v/>
      </c>
      <c r="C206" s="38" t="str">
        <f>Extrato26!C206</f>
        <v/>
      </c>
      <c r="D206" s="49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ht="22.5" customHeight="1">
      <c r="A207" s="37" t="str">
        <f>Extrato26!A207</f>
        <v/>
      </c>
      <c r="B207" s="38" t="str">
        <f>Extrato26!B207</f>
        <v/>
      </c>
      <c r="C207" s="38" t="str">
        <f>Extrato26!C207</f>
        <v/>
      </c>
      <c r="D207" s="48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ht="22.5" customHeight="1">
      <c r="A208" s="37" t="str">
        <f>Extrato26!A208</f>
        <v/>
      </c>
      <c r="B208" s="38" t="str">
        <f>Extrato26!B208</f>
        <v/>
      </c>
      <c r="C208" s="38" t="str">
        <f>Extrato26!C208</f>
        <v/>
      </c>
      <c r="D208" s="49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ht="22.5" customHeight="1">
      <c r="A209" s="37" t="str">
        <f>Extrato26!A209</f>
        <v/>
      </c>
      <c r="B209" s="38" t="str">
        <f>Extrato26!B209</f>
        <v/>
      </c>
      <c r="C209" s="38" t="str">
        <f>Extrato26!C209</f>
        <v/>
      </c>
      <c r="D209" s="48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ht="22.5" customHeight="1">
      <c r="A210" s="37" t="str">
        <f>Extrato26!A210</f>
        <v/>
      </c>
      <c r="B210" s="38" t="str">
        <f>Extrato26!B210</f>
        <v/>
      </c>
      <c r="C210" s="38" t="str">
        <f>Extrato26!C210</f>
        <v/>
      </c>
      <c r="D210" s="49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ht="22.5" customHeight="1">
      <c r="A211" s="37" t="str">
        <f>Extrato26!A211</f>
        <v/>
      </c>
      <c r="B211" s="38" t="str">
        <f>Extrato26!B211</f>
        <v/>
      </c>
      <c r="C211" s="38" t="str">
        <f>Extrato26!C211</f>
        <v/>
      </c>
      <c r="D211" s="48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ht="22.5" customHeight="1">
      <c r="A212" s="37" t="str">
        <f>Extrato26!A212</f>
        <v/>
      </c>
      <c r="B212" s="38" t="str">
        <f>Extrato26!B212</f>
        <v/>
      </c>
      <c r="C212" s="38" t="str">
        <f>Extrato26!C212</f>
        <v/>
      </c>
      <c r="D212" s="49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ht="22.5" customHeight="1">
      <c r="A213" s="37" t="str">
        <f>Extrato26!A213</f>
        <v/>
      </c>
      <c r="B213" s="38" t="str">
        <f>Extrato26!B213</f>
        <v/>
      </c>
      <c r="C213" s="38" t="str">
        <f>Extrato26!C213</f>
        <v/>
      </c>
      <c r="D213" s="48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ht="22.5" customHeight="1">
      <c r="A214" s="37" t="str">
        <f>Extrato26!A214</f>
        <v/>
      </c>
      <c r="B214" s="38" t="str">
        <f>Extrato26!B214</f>
        <v/>
      </c>
      <c r="C214" s="38" t="str">
        <f>Extrato26!C214</f>
        <v/>
      </c>
      <c r="D214" s="49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ht="22.5" customHeight="1">
      <c r="A215" s="37" t="str">
        <f>Extrato26!A215</f>
        <v/>
      </c>
      <c r="B215" s="38" t="str">
        <f>Extrato26!B215</f>
        <v/>
      </c>
      <c r="C215" s="38" t="str">
        <f>Extrato26!C215</f>
        <v/>
      </c>
      <c r="D215" s="48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ht="22.5" customHeight="1">
      <c r="A216" s="37" t="str">
        <f>Extrato26!A216</f>
        <v/>
      </c>
      <c r="B216" s="38" t="str">
        <f>Extrato26!B216</f>
        <v/>
      </c>
      <c r="C216" s="38" t="str">
        <f>Extrato26!C216</f>
        <v/>
      </c>
      <c r="D216" s="49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ht="22.5" customHeight="1">
      <c r="A217" s="37" t="str">
        <f>Extrato26!A217</f>
        <v/>
      </c>
      <c r="B217" s="38" t="str">
        <f>Extrato26!B217</f>
        <v/>
      </c>
      <c r="C217" s="38" t="str">
        <f>Extrato26!C217</f>
        <v/>
      </c>
      <c r="D217" s="48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ht="22.5" customHeight="1">
      <c r="A218" s="37" t="str">
        <f>Extrato26!A218</f>
        <v/>
      </c>
      <c r="B218" s="38" t="str">
        <f>Extrato26!B218</f>
        <v/>
      </c>
      <c r="C218" s="38" t="str">
        <f>Extrato26!C218</f>
        <v/>
      </c>
      <c r="D218" s="49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ht="22.5" customHeight="1">
      <c r="A219" s="37" t="str">
        <f>Extrato26!A219</f>
        <v/>
      </c>
      <c r="B219" s="38" t="str">
        <f>Extrato26!B219</f>
        <v/>
      </c>
      <c r="C219" s="38" t="str">
        <f>Extrato26!C219</f>
        <v/>
      </c>
      <c r="D219" s="48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ht="22.5" customHeight="1">
      <c r="A220" s="37" t="str">
        <f>Extrato26!A220</f>
        <v/>
      </c>
      <c r="B220" s="38" t="str">
        <f>Extrato26!B220</f>
        <v/>
      </c>
      <c r="C220" s="38" t="str">
        <f>Extrato26!C220</f>
        <v/>
      </c>
      <c r="D220" s="49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ht="22.5" customHeight="1">
      <c r="A221" s="37" t="str">
        <f>Extrato26!A221</f>
        <v/>
      </c>
      <c r="B221" s="38" t="str">
        <f>Extrato26!B221</f>
        <v/>
      </c>
      <c r="C221" s="38" t="str">
        <f>Extrato26!C221</f>
        <v/>
      </c>
      <c r="D221" s="48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ht="22.5" customHeight="1">
      <c r="A222" s="37" t="str">
        <f>Extrato26!A222</f>
        <v/>
      </c>
      <c r="B222" s="38" t="str">
        <f>Extrato26!B222</f>
        <v/>
      </c>
      <c r="C222" s="38" t="str">
        <f>Extrato26!C222</f>
        <v/>
      </c>
      <c r="D222" s="49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ht="22.5" customHeight="1">
      <c r="A223" s="37" t="str">
        <f>Extrato26!A223</f>
        <v/>
      </c>
      <c r="B223" s="38" t="str">
        <f>Extrato26!B223</f>
        <v/>
      </c>
      <c r="C223" s="38" t="str">
        <f>Extrato26!C223</f>
        <v/>
      </c>
      <c r="D223" s="48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ht="22.5" customHeight="1">
      <c r="A224" s="37" t="str">
        <f>Extrato26!A224</f>
        <v/>
      </c>
      <c r="B224" s="38" t="str">
        <f>Extrato26!B224</f>
        <v/>
      </c>
      <c r="C224" s="38" t="str">
        <f>Extrato26!C224</f>
        <v/>
      </c>
      <c r="D224" s="49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ht="22.5" customHeight="1">
      <c r="A225" s="37" t="str">
        <f>Extrato26!A225</f>
        <v/>
      </c>
      <c r="B225" s="38" t="str">
        <f>Extrato26!B225</f>
        <v/>
      </c>
      <c r="C225" s="38" t="str">
        <f>Extrato26!C225</f>
        <v/>
      </c>
      <c r="D225" s="48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ht="22.5" customHeight="1">
      <c r="A226" s="37" t="str">
        <f>Extrato26!A226</f>
        <v/>
      </c>
      <c r="B226" s="38" t="str">
        <f>Extrato26!B226</f>
        <v/>
      </c>
      <c r="C226" s="38" t="str">
        <f>Extrato26!C226</f>
        <v/>
      </c>
      <c r="D226" s="49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ht="22.5" customHeight="1">
      <c r="A227" s="37" t="str">
        <f>Extrato26!A227</f>
        <v/>
      </c>
      <c r="B227" s="38" t="str">
        <f>Extrato26!B227</f>
        <v/>
      </c>
      <c r="C227" s="38" t="str">
        <f>Extrato26!C227</f>
        <v/>
      </c>
      <c r="D227" s="48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ht="22.5" customHeight="1">
      <c r="A228" s="37" t="str">
        <f>Extrato26!A228</f>
        <v/>
      </c>
      <c r="B228" s="38" t="str">
        <f>Extrato26!B228</f>
        <v/>
      </c>
      <c r="C228" s="38" t="str">
        <f>Extrato26!C228</f>
        <v/>
      </c>
      <c r="D228" s="49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ht="22.5" customHeight="1">
      <c r="A229" s="37" t="str">
        <f>Extrato26!A229</f>
        <v/>
      </c>
      <c r="B229" s="38" t="str">
        <f>Extrato26!B229</f>
        <v/>
      </c>
      <c r="C229" s="38" t="str">
        <f>Extrato26!C229</f>
        <v/>
      </c>
      <c r="D229" s="48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ht="22.5" customHeight="1">
      <c r="A230" s="37" t="str">
        <f>Extrato26!A230</f>
        <v/>
      </c>
      <c r="B230" s="38" t="str">
        <f>Extrato26!B230</f>
        <v/>
      </c>
      <c r="C230" s="38" t="str">
        <f>Extrato26!C230</f>
        <v/>
      </c>
      <c r="D230" s="49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ht="22.5" customHeight="1">
      <c r="A231" s="37" t="str">
        <f>Extrato26!A231</f>
        <v/>
      </c>
      <c r="B231" s="38" t="str">
        <f>Extrato26!B231</f>
        <v/>
      </c>
      <c r="C231" s="38" t="str">
        <f>Extrato26!C231</f>
        <v/>
      </c>
      <c r="D231" s="48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ht="22.5" customHeight="1">
      <c r="A232" s="37" t="str">
        <f>Extrato26!A232</f>
        <v/>
      </c>
      <c r="B232" s="38" t="str">
        <f>Extrato26!B232</f>
        <v/>
      </c>
      <c r="C232" s="38" t="str">
        <f>Extrato26!C232</f>
        <v/>
      </c>
      <c r="D232" s="49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ht="22.5" customHeight="1">
      <c r="A233" s="37" t="str">
        <f>Extrato26!A233</f>
        <v/>
      </c>
      <c r="B233" s="38" t="str">
        <f>Extrato26!B233</f>
        <v/>
      </c>
      <c r="C233" s="38" t="str">
        <f>Extrato26!C233</f>
        <v/>
      </c>
      <c r="D233" s="48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ht="22.5" customHeight="1">
      <c r="A234" s="37" t="str">
        <f>Extrato26!A234</f>
        <v/>
      </c>
      <c r="B234" s="38" t="str">
        <f>Extrato26!B234</f>
        <v/>
      </c>
      <c r="C234" s="38" t="str">
        <f>Extrato26!C234</f>
        <v/>
      </c>
      <c r="D234" s="49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ht="22.5" customHeight="1">
      <c r="A235" s="37" t="str">
        <f>Extrato26!A235</f>
        <v/>
      </c>
      <c r="B235" s="38" t="str">
        <f>Extrato26!B235</f>
        <v/>
      </c>
      <c r="C235" s="38" t="str">
        <f>Extrato26!C235</f>
        <v/>
      </c>
      <c r="D235" s="48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ht="22.5" customHeight="1">
      <c r="A236" s="37" t="str">
        <f>Extrato26!A236</f>
        <v/>
      </c>
      <c r="B236" s="38" t="str">
        <f>Extrato26!B236</f>
        <v/>
      </c>
      <c r="C236" s="38" t="str">
        <f>Extrato26!C236</f>
        <v/>
      </c>
      <c r="D236" s="49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ht="22.5" customHeight="1">
      <c r="A237" s="37" t="str">
        <f>Extrato26!A237</f>
        <v/>
      </c>
      <c r="B237" s="38" t="str">
        <f>Extrato26!B237</f>
        <v/>
      </c>
      <c r="C237" s="38" t="str">
        <f>Extrato26!C237</f>
        <v/>
      </c>
      <c r="D237" s="48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ht="22.5" customHeight="1">
      <c r="A238" s="37" t="str">
        <f>Extrato26!A238</f>
        <v/>
      </c>
      <c r="B238" s="38" t="str">
        <f>Extrato26!B238</f>
        <v/>
      </c>
      <c r="C238" s="38" t="str">
        <f>Extrato26!C238</f>
        <v/>
      </c>
      <c r="D238" s="49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ht="22.5" customHeight="1">
      <c r="A239" s="37" t="str">
        <f>Extrato26!A239</f>
        <v/>
      </c>
      <c r="B239" s="38" t="str">
        <f>Extrato26!B239</f>
        <v/>
      </c>
      <c r="C239" s="38" t="str">
        <f>Extrato26!C239</f>
        <v/>
      </c>
      <c r="D239" s="48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ht="22.5" customHeight="1">
      <c r="A240" s="37" t="str">
        <f>Extrato26!A240</f>
        <v/>
      </c>
      <c r="B240" s="38" t="str">
        <f>Extrato26!B240</f>
        <v/>
      </c>
      <c r="C240" s="38" t="str">
        <f>Extrato26!C240</f>
        <v/>
      </c>
      <c r="D240" s="49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ht="22.5" customHeight="1">
      <c r="A241" s="37" t="str">
        <f>Extrato26!A241</f>
        <v/>
      </c>
      <c r="B241" s="38" t="str">
        <f>Extrato26!B241</f>
        <v/>
      </c>
      <c r="C241" s="38" t="str">
        <f>Extrato26!C241</f>
        <v/>
      </c>
      <c r="D241" s="48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ht="22.5" customHeight="1">
      <c r="A242" s="37" t="str">
        <f>Extrato26!A242</f>
        <v/>
      </c>
      <c r="B242" s="38" t="str">
        <f>Extrato26!B242</f>
        <v/>
      </c>
      <c r="C242" s="38" t="str">
        <f>Extrato26!C242</f>
        <v/>
      </c>
      <c r="D242" s="49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ht="22.5" customHeight="1">
      <c r="A243" s="37" t="str">
        <f>Extrato26!A243</f>
        <v/>
      </c>
      <c r="B243" s="38" t="str">
        <f>Extrato26!B243</f>
        <v/>
      </c>
      <c r="C243" s="38" t="str">
        <f>Extrato26!C243</f>
        <v/>
      </c>
      <c r="D243" s="48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ht="22.5" customHeight="1">
      <c r="A244" s="37" t="str">
        <f>Extrato26!A244</f>
        <v/>
      </c>
      <c r="B244" s="38" t="str">
        <f>Extrato26!B244</f>
        <v/>
      </c>
      <c r="C244" s="38" t="str">
        <f>Extrato26!C244</f>
        <v/>
      </c>
      <c r="D244" s="49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ht="22.5" customHeight="1">
      <c r="A245" s="37" t="str">
        <f>Extrato26!A245</f>
        <v/>
      </c>
      <c r="B245" s="38" t="str">
        <f>Extrato26!B245</f>
        <v/>
      </c>
      <c r="C245" s="38" t="str">
        <f>Extrato26!C245</f>
        <v/>
      </c>
      <c r="D245" s="48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ht="22.5" customHeight="1">
      <c r="A246" s="37" t="str">
        <f>Extrato26!A246</f>
        <v/>
      </c>
      <c r="B246" s="38" t="str">
        <f>Extrato26!B246</f>
        <v/>
      </c>
      <c r="C246" s="38" t="str">
        <f>Extrato26!C246</f>
        <v/>
      </c>
      <c r="D246" s="49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ht="22.5" customHeight="1">
      <c r="A247" s="37" t="str">
        <f>Extrato26!A247</f>
        <v/>
      </c>
      <c r="B247" s="38" t="str">
        <f>Extrato26!B247</f>
        <v/>
      </c>
      <c r="C247" s="38" t="str">
        <f>Extrato26!C247</f>
        <v/>
      </c>
      <c r="D247" s="48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ht="22.5" customHeight="1">
      <c r="A248" s="37" t="str">
        <f>Extrato26!A248</f>
        <v/>
      </c>
      <c r="B248" s="38" t="str">
        <f>Extrato26!B248</f>
        <v/>
      </c>
      <c r="C248" s="38" t="str">
        <f>Extrato26!C248</f>
        <v/>
      </c>
      <c r="D248" s="49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ht="22.5" customHeight="1">
      <c r="A249" s="37" t="str">
        <f>Extrato26!A249</f>
        <v/>
      </c>
      <c r="B249" s="38" t="str">
        <f>Extrato26!B249</f>
        <v/>
      </c>
      <c r="C249" s="38" t="str">
        <f>Extrato26!C249</f>
        <v/>
      </c>
      <c r="D249" s="48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ht="22.5" customHeight="1">
      <c r="A250" s="37" t="str">
        <f>Extrato26!A250</f>
        <v/>
      </c>
      <c r="B250" s="38" t="str">
        <f>Extrato26!B250</f>
        <v/>
      </c>
      <c r="C250" s="38" t="str">
        <f>Extrato26!C250</f>
        <v/>
      </c>
      <c r="D250" s="49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ht="22.5" customHeight="1">
      <c r="A251" s="37" t="str">
        <f>Extrato26!A251</f>
        <v/>
      </c>
      <c r="B251" s="38" t="str">
        <f>Extrato26!B251</f>
        <v/>
      </c>
      <c r="C251" s="38" t="str">
        <f>Extrato26!C251</f>
        <v/>
      </c>
      <c r="D251" s="48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ht="22.5" customHeight="1">
      <c r="A252" s="37" t="str">
        <f>Extrato26!A252</f>
        <v/>
      </c>
      <c r="B252" s="38" t="str">
        <f>Extrato26!B252</f>
        <v/>
      </c>
      <c r="C252" s="38" t="str">
        <f>Extrato26!C252</f>
        <v/>
      </c>
      <c r="D252" s="49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ht="22.5" customHeight="1">
      <c r="A253" s="37" t="str">
        <f>Extrato26!A253</f>
        <v/>
      </c>
      <c r="B253" s="38" t="str">
        <f>Extrato26!B253</f>
        <v/>
      </c>
      <c r="C253" s="38" t="str">
        <f>Extrato26!C253</f>
        <v/>
      </c>
      <c r="D253" s="48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ht="22.5" customHeight="1">
      <c r="A254" s="37" t="str">
        <f>Extrato26!A254</f>
        <v/>
      </c>
      <c r="B254" s="38" t="str">
        <f>Extrato26!B254</f>
        <v/>
      </c>
      <c r="C254" s="38" t="str">
        <f>Extrato26!C254</f>
        <v/>
      </c>
      <c r="D254" s="49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ht="22.5" customHeight="1">
      <c r="A255" s="37" t="str">
        <f>Extrato26!A255</f>
        <v/>
      </c>
      <c r="B255" s="38" t="str">
        <f>Extrato26!B255</f>
        <v/>
      </c>
      <c r="C255" s="38" t="str">
        <f>Extrato26!C255</f>
        <v/>
      </c>
      <c r="D255" s="48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ht="22.5" customHeight="1">
      <c r="A256" s="37" t="str">
        <f>Extrato26!A256</f>
        <v/>
      </c>
      <c r="B256" s="38" t="str">
        <f>Extrato26!B256</f>
        <v/>
      </c>
      <c r="C256" s="38" t="str">
        <f>Extrato26!C256</f>
        <v/>
      </c>
      <c r="D256" s="49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ht="22.5" customHeight="1">
      <c r="A257" s="37" t="str">
        <f>Extrato26!A257</f>
        <v/>
      </c>
      <c r="B257" s="38" t="str">
        <f>Extrato26!B257</f>
        <v/>
      </c>
      <c r="C257" s="38" t="str">
        <f>Extrato26!C257</f>
        <v/>
      </c>
      <c r="D257" s="48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ht="22.5" customHeight="1">
      <c r="A258" s="37" t="str">
        <f>Extrato26!A258</f>
        <v/>
      </c>
      <c r="B258" s="38" t="str">
        <f>Extrato26!B258</f>
        <v/>
      </c>
      <c r="C258" s="38" t="str">
        <f>Extrato26!C258</f>
        <v/>
      </c>
      <c r="D258" s="49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ht="22.5" customHeight="1">
      <c r="A259" s="37" t="str">
        <f>Extrato26!A259</f>
        <v/>
      </c>
      <c r="B259" s="38" t="str">
        <f>Extrato26!B259</f>
        <v/>
      </c>
      <c r="C259" s="38" t="str">
        <f>Extrato26!C259</f>
        <v/>
      </c>
      <c r="D259" s="48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ht="22.5" customHeight="1">
      <c r="A260" s="37" t="str">
        <f>Extrato26!A260</f>
        <v/>
      </c>
      <c r="B260" s="38" t="str">
        <f>Extrato26!B260</f>
        <v/>
      </c>
      <c r="C260" s="38" t="str">
        <f>Extrato26!C260</f>
        <v/>
      </c>
      <c r="D260" s="49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ht="22.5" customHeight="1">
      <c r="A261" s="37" t="str">
        <f>Extrato26!A261</f>
        <v/>
      </c>
      <c r="B261" s="38" t="str">
        <f>Extrato26!B261</f>
        <v/>
      </c>
      <c r="C261" s="38" t="str">
        <f>Extrato26!C261</f>
        <v/>
      </c>
      <c r="D261" s="48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ht="22.5" customHeight="1">
      <c r="A262" s="37" t="str">
        <f>Extrato26!A262</f>
        <v/>
      </c>
      <c r="B262" s="38" t="str">
        <f>Extrato26!B262</f>
        <v/>
      </c>
      <c r="C262" s="38" t="str">
        <f>Extrato26!C262</f>
        <v/>
      </c>
      <c r="D262" s="49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ht="22.5" customHeight="1">
      <c r="A263" s="37" t="str">
        <f>Extrato26!A263</f>
        <v/>
      </c>
      <c r="B263" s="38" t="str">
        <f>Extrato26!B263</f>
        <v/>
      </c>
      <c r="C263" s="38" t="str">
        <f>Extrato26!C263</f>
        <v/>
      </c>
      <c r="D263" s="48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ht="22.5" customHeight="1">
      <c r="A264" s="37" t="str">
        <f>Extrato26!A264</f>
        <v/>
      </c>
      <c r="B264" s="38" t="str">
        <f>Extrato26!B264</f>
        <v/>
      </c>
      <c r="C264" s="38" t="str">
        <f>Extrato26!C264</f>
        <v/>
      </c>
      <c r="D264" s="49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ht="22.5" customHeight="1">
      <c r="A265" s="37" t="str">
        <f>Extrato26!A265</f>
        <v/>
      </c>
      <c r="B265" s="38" t="str">
        <f>Extrato26!B265</f>
        <v/>
      </c>
      <c r="C265" s="38" t="str">
        <f>Extrato26!C265</f>
        <v/>
      </c>
      <c r="D265" s="48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ht="22.5" customHeight="1">
      <c r="A266" s="37" t="str">
        <f>Extrato26!A266</f>
        <v/>
      </c>
      <c r="B266" s="38" t="str">
        <f>Extrato26!B266</f>
        <v/>
      </c>
      <c r="C266" s="38" t="str">
        <f>Extrato26!C266</f>
        <v/>
      </c>
      <c r="D266" s="49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ht="22.5" customHeight="1">
      <c r="A267" s="37" t="str">
        <f>Extrato26!A267</f>
        <v/>
      </c>
      <c r="B267" s="38" t="str">
        <f>Extrato26!B267</f>
        <v/>
      </c>
      <c r="C267" s="38" t="str">
        <f>Extrato26!C267</f>
        <v/>
      </c>
      <c r="D267" s="48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 ht="22.5" customHeight="1">
      <c r="A268" s="37" t="str">
        <f>Extrato26!A268</f>
        <v/>
      </c>
      <c r="B268" s="38" t="str">
        <f>Extrato26!B268</f>
        <v/>
      </c>
      <c r="C268" s="38" t="str">
        <f>Extrato26!C268</f>
        <v/>
      </c>
      <c r="D268" s="49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ht="22.5" customHeight="1">
      <c r="A269" s="37" t="str">
        <f>Extrato26!A269</f>
        <v/>
      </c>
      <c r="B269" s="38" t="str">
        <f>Extrato26!B269</f>
        <v/>
      </c>
      <c r="C269" s="38" t="str">
        <f>Extrato26!C269</f>
        <v/>
      </c>
      <c r="D269" s="48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ht="22.5" customHeight="1">
      <c r="A270" s="37" t="str">
        <f>Extrato26!A270</f>
        <v/>
      </c>
      <c r="B270" s="38" t="str">
        <f>Extrato26!B270</f>
        <v/>
      </c>
      <c r="C270" s="38" t="str">
        <f>Extrato26!C270</f>
        <v/>
      </c>
      <c r="D270" s="49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ht="22.5" customHeight="1">
      <c r="A271" s="37" t="str">
        <f>Extrato26!A271</f>
        <v/>
      </c>
      <c r="B271" s="38" t="str">
        <f>Extrato26!B271</f>
        <v/>
      </c>
      <c r="C271" s="38" t="str">
        <f>Extrato26!C271</f>
        <v/>
      </c>
      <c r="D271" s="48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ht="22.5" customHeight="1">
      <c r="A272" s="37" t="str">
        <f>Extrato26!A272</f>
        <v/>
      </c>
      <c r="B272" s="38" t="str">
        <f>Extrato26!B272</f>
        <v/>
      </c>
      <c r="C272" s="38" t="str">
        <f>Extrato26!C272</f>
        <v/>
      </c>
      <c r="D272" s="49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ht="22.5" customHeight="1">
      <c r="A273" s="37" t="str">
        <f>Extrato26!A273</f>
        <v/>
      </c>
      <c r="B273" s="38" t="str">
        <f>Extrato26!B273</f>
        <v/>
      </c>
      <c r="C273" s="38" t="str">
        <f>Extrato26!C273</f>
        <v/>
      </c>
      <c r="D273" s="48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ht="22.5" customHeight="1">
      <c r="A274" s="37" t="str">
        <f>Extrato26!A274</f>
        <v/>
      </c>
      <c r="B274" s="38" t="str">
        <f>Extrato26!B274</f>
        <v/>
      </c>
      <c r="C274" s="38" t="str">
        <f>Extrato26!C274</f>
        <v/>
      </c>
      <c r="D274" s="49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ht="22.5" customHeight="1">
      <c r="A275" s="37" t="str">
        <f>Extrato26!A275</f>
        <v/>
      </c>
      <c r="B275" s="38" t="str">
        <f>Extrato26!B275</f>
        <v/>
      </c>
      <c r="C275" s="38" t="str">
        <f>Extrato26!C275</f>
        <v/>
      </c>
      <c r="D275" s="48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 ht="22.5" customHeight="1">
      <c r="A276" s="37" t="str">
        <f>Extrato26!A276</f>
        <v/>
      </c>
      <c r="B276" s="38" t="str">
        <f>Extrato26!B276</f>
        <v/>
      </c>
      <c r="C276" s="38" t="str">
        <f>Extrato26!C276</f>
        <v/>
      </c>
      <c r="D276" s="49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 ht="22.5" customHeight="1">
      <c r="A277" s="37" t="str">
        <f>Extrato26!A277</f>
        <v/>
      </c>
      <c r="B277" s="38" t="str">
        <f>Extrato26!B277</f>
        <v/>
      </c>
      <c r="C277" s="38" t="str">
        <f>Extrato26!C277</f>
        <v/>
      </c>
      <c r="D277" s="48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ht="22.5" customHeight="1">
      <c r="A278" s="37" t="str">
        <f>Extrato26!A278</f>
        <v/>
      </c>
      <c r="B278" s="38" t="str">
        <f>Extrato26!B278</f>
        <v/>
      </c>
      <c r="C278" s="38" t="str">
        <f>Extrato26!C278</f>
        <v/>
      </c>
      <c r="D278" s="49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ht="22.5" customHeight="1">
      <c r="A279" s="37" t="str">
        <f>Extrato26!A279</f>
        <v/>
      </c>
      <c r="B279" s="38" t="str">
        <f>Extrato26!B279</f>
        <v/>
      </c>
      <c r="C279" s="38" t="str">
        <f>Extrato26!C279</f>
        <v/>
      </c>
      <c r="D279" s="48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ht="22.5" customHeight="1">
      <c r="A280" s="37" t="str">
        <f>Extrato26!A280</f>
        <v/>
      </c>
      <c r="B280" s="38" t="str">
        <f>Extrato26!B280</f>
        <v/>
      </c>
      <c r="C280" s="38" t="str">
        <f>Extrato26!C280</f>
        <v/>
      </c>
      <c r="D280" s="49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ht="22.5" customHeight="1">
      <c r="A281" s="37" t="str">
        <f>Extrato26!A281</f>
        <v/>
      </c>
      <c r="B281" s="38" t="str">
        <f>Extrato26!B281</f>
        <v/>
      </c>
      <c r="C281" s="38" t="str">
        <f>Extrato26!C281</f>
        <v/>
      </c>
      <c r="D281" s="48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ht="22.5" customHeight="1">
      <c r="A282" s="37" t="str">
        <f>Extrato26!A282</f>
        <v/>
      </c>
      <c r="B282" s="38" t="str">
        <f>Extrato26!B282</f>
        <v/>
      </c>
      <c r="C282" s="38" t="str">
        <f>Extrato26!C282</f>
        <v/>
      </c>
      <c r="D282" s="49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ht="22.5" customHeight="1">
      <c r="A283" s="37" t="str">
        <f>Extrato26!A283</f>
        <v/>
      </c>
      <c r="B283" s="38" t="str">
        <f>Extrato26!B283</f>
        <v/>
      </c>
      <c r="C283" s="38" t="str">
        <f>Extrato26!C283</f>
        <v/>
      </c>
      <c r="D283" s="48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 ht="22.5" customHeight="1">
      <c r="A284" s="37" t="str">
        <f>Extrato26!A284</f>
        <v/>
      </c>
      <c r="B284" s="38" t="str">
        <f>Extrato26!B284</f>
        <v/>
      </c>
      <c r="C284" s="38" t="str">
        <f>Extrato26!C284</f>
        <v/>
      </c>
      <c r="D284" s="49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 ht="22.5" customHeight="1">
      <c r="A285" s="37" t="str">
        <f>Extrato26!A285</f>
        <v/>
      </c>
      <c r="B285" s="38" t="str">
        <f>Extrato26!B285</f>
        <v/>
      </c>
      <c r="C285" s="38" t="str">
        <f>Extrato26!C285</f>
        <v/>
      </c>
      <c r="D285" s="48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 ht="22.5" customHeight="1">
      <c r="A286" s="37" t="str">
        <f>Extrato26!A286</f>
        <v/>
      </c>
      <c r="B286" s="38" t="str">
        <f>Extrato26!B286</f>
        <v/>
      </c>
      <c r="C286" s="38" t="str">
        <f>Extrato26!C286</f>
        <v/>
      </c>
      <c r="D286" s="49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ht="22.5" customHeight="1">
      <c r="A287" s="37" t="str">
        <f>Extrato26!A287</f>
        <v/>
      </c>
      <c r="B287" s="38" t="str">
        <f>Extrato26!B287</f>
        <v/>
      </c>
      <c r="C287" s="38" t="str">
        <f>Extrato26!C287</f>
        <v/>
      </c>
      <c r="D287" s="48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ht="22.5" customHeight="1">
      <c r="A288" s="37" t="str">
        <f>Extrato26!A288</f>
        <v/>
      </c>
      <c r="B288" s="38" t="str">
        <f>Extrato26!B288</f>
        <v/>
      </c>
      <c r="C288" s="38" t="str">
        <f>Extrato26!C288</f>
        <v/>
      </c>
      <c r="D288" s="49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ht="22.5" customHeight="1">
      <c r="A289" s="37" t="str">
        <f>Extrato26!A289</f>
        <v/>
      </c>
      <c r="B289" s="38" t="str">
        <f>Extrato26!B289</f>
        <v/>
      </c>
      <c r="C289" s="38" t="str">
        <f>Extrato26!C289</f>
        <v/>
      </c>
      <c r="D289" s="48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ht="22.5" customHeight="1">
      <c r="A290" s="37" t="str">
        <f>Extrato26!A290</f>
        <v/>
      </c>
      <c r="B290" s="38" t="str">
        <f>Extrato26!B290</f>
        <v/>
      </c>
      <c r="C290" s="38" t="str">
        <f>Extrato26!C290</f>
        <v/>
      </c>
      <c r="D290" s="49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ht="22.5" customHeight="1">
      <c r="A291" s="37" t="str">
        <f>Extrato26!A291</f>
        <v/>
      </c>
      <c r="B291" s="38" t="str">
        <f>Extrato26!B291</f>
        <v/>
      </c>
      <c r="C291" s="38" t="str">
        <f>Extrato26!C291</f>
        <v/>
      </c>
      <c r="D291" s="48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 ht="22.5" customHeight="1">
      <c r="A292" s="37" t="str">
        <f>Extrato26!A292</f>
        <v/>
      </c>
      <c r="B292" s="38" t="str">
        <f>Extrato26!B292</f>
        <v/>
      </c>
      <c r="C292" s="38" t="str">
        <f>Extrato26!C292</f>
        <v/>
      </c>
      <c r="D292" s="49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ht="22.5" customHeight="1">
      <c r="A293" s="37" t="str">
        <f>Extrato26!A293</f>
        <v/>
      </c>
      <c r="B293" s="38" t="str">
        <f>Extrato26!B293</f>
        <v/>
      </c>
      <c r="C293" s="38" t="str">
        <f>Extrato26!C293</f>
        <v/>
      </c>
      <c r="D293" s="48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ht="22.5" customHeight="1">
      <c r="A294" s="37" t="str">
        <f>Extrato26!A294</f>
        <v/>
      </c>
      <c r="B294" s="38" t="str">
        <f>Extrato26!B294</f>
        <v/>
      </c>
      <c r="C294" s="38" t="str">
        <f>Extrato26!C294</f>
        <v/>
      </c>
      <c r="D294" s="49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ht="22.5" customHeight="1">
      <c r="A295" s="37" t="str">
        <f>Extrato26!A295</f>
        <v/>
      </c>
      <c r="B295" s="38" t="str">
        <f>Extrato26!B295</f>
        <v/>
      </c>
      <c r="C295" s="38" t="str">
        <f>Extrato26!C295</f>
        <v/>
      </c>
      <c r="D295" s="48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ht="22.5" customHeight="1">
      <c r="A296" s="37" t="str">
        <f>Extrato26!A296</f>
        <v/>
      </c>
      <c r="B296" s="38" t="str">
        <f>Extrato26!B296</f>
        <v/>
      </c>
      <c r="C296" s="38" t="str">
        <f>Extrato26!C296</f>
        <v/>
      </c>
      <c r="D296" s="49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ht="22.5" customHeight="1">
      <c r="A297" s="37" t="str">
        <f>Extrato26!A297</f>
        <v/>
      </c>
      <c r="B297" s="38" t="str">
        <f>Extrato26!B297</f>
        <v/>
      </c>
      <c r="C297" s="38" t="str">
        <f>Extrato26!C297</f>
        <v/>
      </c>
      <c r="D297" s="48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ht="22.5" customHeight="1">
      <c r="A298" s="37" t="str">
        <f>Extrato26!A298</f>
        <v/>
      </c>
      <c r="B298" s="38" t="str">
        <f>Extrato26!B298</f>
        <v/>
      </c>
      <c r="C298" s="38" t="str">
        <f>Extrato26!C298</f>
        <v/>
      </c>
      <c r="D298" s="49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ht="22.5" customHeight="1">
      <c r="A299" s="37" t="str">
        <f>Extrato26!A299</f>
        <v/>
      </c>
      <c r="B299" s="38" t="str">
        <f>Extrato26!B299</f>
        <v/>
      </c>
      <c r="C299" s="38" t="str">
        <f>Extrato26!C299</f>
        <v/>
      </c>
      <c r="D299" s="48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ht="22.5" customHeight="1">
      <c r="A300" s="37" t="str">
        <f>Extrato26!A300</f>
        <v/>
      </c>
      <c r="B300" s="38" t="str">
        <f>Extrato26!B300</f>
        <v/>
      </c>
      <c r="C300" s="38" t="str">
        <f>Extrato26!C300</f>
        <v/>
      </c>
      <c r="D300" s="49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ht="22.5" customHeight="1">
      <c r="A301" s="37" t="str">
        <f>Extrato26!A301</f>
        <v/>
      </c>
      <c r="B301" s="38" t="str">
        <f>Extrato26!B301</f>
        <v/>
      </c>
      <c r="C301" s="38" t="str">
        <f>Extrato26!C301</f>
        <v/>
      </c>
      <c r="D301" s="48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ht="22.5" customHeight="1">
      <c r="A302" s="37" t="str">
        <f>Extrato26!A302</f>
        <v/>
      </c>
      <c r="B302" s="38" t="str">
        <f>Extrato26!B302</f>
        <v/>
      </c>
      <c r="C302" s="38" t="str">
        <f>Extrato26!C302</f>
        <v/>
      </c>
      <c r="D302" s="49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ht="22.5" customHeight="1">
      <c r="A303" s="37" t="str">
        <f>Extrato26!A303</f>
        <v/>
      </c>
      <c r="B303" s="38" t="str">
        <f>Extrato26!B303</f>
        <v/>
      </c>
      <c r="C303" s="38" t="str">
        <f>Extrato26!C303</f>
        <v/>
      </c>
      <c r="D303" s="48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 ht="22.5" customHeight="1">
      <c r="A304" s="37" t="str">
        <f>Extrato26!A304</f>
        <v/>
      </c>
      <c r="B304" s="38" t="str">
        <f>Extrato26!B304</f>
        <v/>
      </c>
      <c r="C304" s="38" t="str">
        <f>Extrato26!C304</f>
        <v/>
      </c>
      <c r="D304" s="49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ht="22.5" customHeight="1">
      <c r="A305" s="37" t="str">
        <f>Extrato26!A305</f>
        <v/>
      </c>
      <c r="B305" s="38" t="str">
        <f>Extrato26!B305</f>
        <v/>
      </c>
      <c r="C305" s="38" t="str">
        <f>Extrato26!C305</f>
        <v/>
      </c>
      <c r="D305" s="48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ht="22.5" customHeight="1">
      <c r="A306" s="37" t="str">
        <f>Extrato26!A306</f>
        <v/>
      </c>
      <c r="B306" s="38" t="str">
        <f>Extrato26!B306</f>
        <v/>
      </c>
      <c r="C306" s="38" t="str">
        <f>Extrato26!C306</f>
        <v/>
      </c>
      <c r="D306" s="49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ht="22.5" customHeight="1">
      <c r="A307" s="37" t="str">
        <f>Extrato26!A307</f>
        <v/>
      </c>
      <c r="B307" s="38" t="str">
        <f>Extrato26!B307</f>
        <v/>
      </c>
      <c r="C307" s="38" t="str">
        <f>Extrato26!C307</f>
        <v/>
      </c>
      <c r="D307" s="48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ht="22.5" customHeight="1">
      <c r="A308" s="37" t="str">
        <f>Extrato26!A308</f>
        <v/>
      </c>
      <c r="B308" s="38" t="str">
        <f>Extrato26!B308</f>
        <v/>
      </c>
      <c r="C308" s="38" t="str">
        <f>Extrato26!C308</f>
        <v/>
      </c>
      <c r="D308" s="49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ht="22.5" customHeight="1">
      <c r="A309" s="37" t="str">
        <f>Extrato26!A309</f>
        <v/>
      </c>
      <c r="B309" s="38" t="str">
        <f>Extrato26!B309</f>
        <v/>
      </c>
      <c r="C309" s="38" t="str">
        <f>Extrato26!C309</f>
        <v/>
      </c>
      <c r="D309" s="48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ht="22.5" customHeight="1">
      <c r="A310" s="37" t="str">
        <f>Extrato26!A310</f>
        <v/>
      </c>
      <c r="B310" s="38" t="str">
        <f>Extrato26!B310</f>
        <v/>
      </c>
      <c r="C310" s="38" t="str">
        <f>Extrato26!C310</f>
        <v/>
      </c>
      <c r="D310" s="49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ht="22.5" customHeight="1">
      <c r="A311" s="37" t="str">
        <f>Extrato26!A311</f>
        <v/>
      </c>
      <c r="B311" s="38" t="str">
        <f>Extrato26!B311</f>
        <v/>
      </c>
      <c r="C311" s="38" t="str">
        <f>Extrato26!C311</f>
        <v/>
      </c>
      <c r="D311" s="48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ht="22.5" customHeight="1">
      <c r="A312" s="37" t="str">
        <f>Extrato26!A312</f>
        <v/>
      </c>
      <c r="B312" s="38" t="str">
        <f>Extrato26!B312</f>
        <v/>
      </c>
      <c r="C312" s="38" t="str">
        <f>Extrato26!C312</f>
        <v/>
      </c>
      <c r="D312" s="49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ht="22.5" customHeight="1">
      <c r="A313" s="37" t="str">
        <f>Extrato26!A313</f>
        <v/>
      </c>
      <c r="B313" s="38" t="str">
        <f>Extrato26!B313</f>
        <v/>
      </c>
      <c r="C313" s="38" t="str">
        <f>Extrato26!C313</f>
        <v/>
      </c>
      <c r="D313" s="48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ht="22.5" customHeight="1">
      <c r="A314" s="37" t="str">
        <f>Extrato26!A314</f>
        <v/>
      </c>
      <c r="B314" s="38" t="str">
        <f>Extrato26!B314</f>
        <v/>
      </c>
      <c r="C314" s="38" t="str">
        <f>Extrato26!C314</f>
        <v/>
      </c>
      <c r="D314" s="49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ht="22.5" customHeight="1">
      <c r="A315" s="37" t="str">
        <f>Extrato26!A315</f>
        <v/>
      </c>
      <c r="B315" s="38" t="str">
        <f>Extrato26!B315</f>
        <v/>
      </c>
      <c r="C315" s="38" t="str">
        <f>Extrato26!C315</f>
        <v/>
      </c>
      <c r="D315" s="48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ht="22.5" customHeight="1">
      <c r="A316" s="37" t="str">
        <f>Extrato26!A316</f>
        <v/>
      </c>
      <c r="B316" s="38" t="str">
        <f>Extrato26!B316</f>
        <v/>
      </c>
      <c r="C316" s="38" t="str">
        <f>Extrato26!C316</f>
        <v/>
      </c>
      <c r="D316" s="49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ht="22.5" customHeight="1">
      <c r="A317" s="37" t="str">
        <f>Extrato26!A317</f>
        <v/>
      </c>
      <c r="B317" s="38" t="str">
        <f>Extrato26!B317</f>
        <v/>
      </c>
      <c r="C317" s="38" t="str">
        <f>Extrato26!C317</f>
        <v/>
      </c>
      <c r="D317" s="48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ht="22.5" customHeight="1">
      <c r="A318" s="37" t="str">
        <f>Extrato26!A318</f>
        <v/>
      </c>
      <c r="B318" s="38" t="str">
        <f>Extrato26!B318</f>
        <v/>
      </c>
      <c r="C318" s="38" t="str">
        <f>Extrato26!C318</f>
        <v/>
      </c>
      <c r="D318" s="49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ht="22.5" customHeight="1">
      <c r="A319" s="37" t="str">
        <f>Extrato26!A319</f>
        <v/>
      </c>
      <c r="B319" s="38" t="str">
        <f>Extrato26!B319</f>
        <v/>
      </c>
      <c r="C319" s="38" t="str">
        <f>Extrato26!C319</f>
        <v/>
      </c>
      <c r="D319" s="48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ht="22.5" customHeight="1">
      <c r="A320" s="37" t="str">
        <f>Extrato26!A320</f>
        <v/>
      </c>
      <c r="B320" s="38" t="str">
        <f>Extrato26!B320</f>
        <v/>
      </c>
      <c r="C320" s="38" t="str">
        <f>Extrato26!C320</f>
        <v/>
      </c>
      <c r="D320" s="49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ht="22.5" customHeight="1">
      <c r="A321" s="37" t="str">
        <f>Extrato26!A321</f>
        <v/>
      </c>
      <c r="B321" s="38" t="str">
        <f>Extrato26!B321</f>
        <v/>
      </c>
      <c r="C321" s="38" t="str">
        <f>Extrato26!C321</f>
        <v/>
      </c>
      <c r="D321" s="48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ht="22.5" customHeight="1">
      <c r="A322" s="37" t="str">
        <f>Extrato26!A322</f>
        <v/>
      </c>
      <c r="B322" s="38" t="str">
        <f>Extrato26!B322</f>
        <v/>
      </c>
      <c r="C322" s="38" t="str">
        <f>Extrato26!C322</f>
        <v/>
      </c>
      <c r="D322" s="49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ht="22.5" customHeight="1">
      <c r="A323" s="37" t="str">
        <f>Extrato26!A323</f>
        <v/>
      </c>
      <c r="B323" s="38" t="str">
        <f>Extrato26!B323</f>
        <v/>
      </c>
      <c r="C323" s="38" t="str">
        <f>Extrato26!C323</f>
        <v/>
      </c>
      <c r="D323" s="48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ht="22.5" customHeight="1">
      <c r="A324" s="37" t="str">
        <f>Extrato26!A324</f>
        <v/>
      </c>
      <c r="B324" s="38" t="str">
        <f>Extrato26!B324</f>
        <v/>
      </c>
      <c r="C324" s="38" t="str">
        <f>Extrato26!C324</f>
        <v/>
      </c>
      <c r="D324" s="49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ht="22.5" customHeight="1">
      <c r="A325" s="37" t="str">
        <f>Extrato26!A325</f>
        <v/>
      </c>
      <c r="B325" s="38" t="str">
        <f>Extrato26!B325</f>
        <v/>
      </c>
      <c r="C325" s="38" t="str">
        <f>Extrato26!C325</f>
        <v/>
      </c>
      <c r="D325" s="48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ht="22.5" customHeight="1">
      <c r="A326" s="37" t="str">
        <f>Extrato26!A326</f>
        <v/>
      </c>
      <c r="B326" s="38" t="str">
        <f>Extrato26!B326</f>
        <v/>
      </c>
      <c r="C326" s="38" t="str">
        <f>Extrato26!C326</f>
        <v/>
      </c>
      <c r="D326" s="49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ht="22.5" customHeight="1">
      <c r="A327" s="37" t="str">
        <f>Extrato26!A327</f>
        <v/>
      </c>
      <c r="B327" s="38" t="str">
        <f>Extrato26!B327</f>
        <v/>
      </c>
      <c r="C327" s="38" t="str">
        <f>Extrato26!C327</f>
        <v/>
      </c>
      <c r="D327" s="48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ht="22.5" customHeight="1">
      <c r="A328" s="37" t="str">
        <f>Extrato26!A328</f>
        <v/>
      </c>
      <c r="B328" s="38" t="str">
        <f>Extrato26!B328</f>
        <v/>
      </c>
      <c r="C328" s="38" t="str">
        <f>Extrato26!C328</f>
        <v/>
      </c>
      <c r="D328" s="49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ht="22.5" customHeight="1">
      <c r="A329" s="37" t="str">
        <f>Extrato26!A329</f>
        <v/>
      </c>
      <c r="B329" s="38" t="str">
        <f>Extrato26!B329</f>
        <v/>
      </c>
      <c r="C329" s="38" t="str">
        <f>Extrato26!C329</f>
        <v/>
      </c>
      <c r="D329" s="48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ht="22.5" customHeight="1">
      <c r="A330" s="37" t="str">
        <f>Extrato26!A330</f>
        <v/>
      </c>
      <c r="B330" s="38" t="str">
        <f>Extrato26!B330</f>
        <v/>
      </c>
      <c r="C330" s="38" t="str">
        <f>Extrato26!C330</f>
        <v/>
      </c>
      <c r="D330" s="49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ht="22.5" customHeight="1">
      <c r="A331" s="37" t="str">
        <f>Extrato26!A331</f>
        <v/>
      </c>
      <c r="B331" s="38" t="str">
        <f>Extrato26!B331</f>
        <v/>
      </c>
      <c r="C331" s="38" t="str">
        <f>Extrato26!C331</f>
        <v/>
      </c>
      <c r="D331" s="48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ht="22.5" customHeight="1">
      <c r="A332" s="37" t="str">
        <f>Extrato26!A332</f>
        <v/>
      </c>
      <c r="B332" s="38" t="str">
        <f>Extrato26!B332</f>
        <v/>
      </c>
      <c r="C332" s="38" t="str">
        <f>Extrato26!C332</f>
        <v/>
      </c>
      <c r="D332" s="49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ht="22.5" customHeight="1">
      <c r="A333" s="37" t="str">
        <f>Extrato26!A333</f>
        <v/>
      </c>
      <c r="B333" s="38" t="str">
        <f>Extrato26!B333</f>
        <v/>
      </c>
      <c r="C333" s="38" t="str">
        <f>Extrato26!C333</f>
        <v/>
      </c>
      <c r="D333" s="48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ht="22.5" customHeight="1">
      <c r="A334" s="37" t="str">
        <f>Extrato26!A334</f>
        <v/>
      </c>
      <c r="B334" s="38" t="str">
        <f>Extrato26!B334</f>
        <v/>
      </c>
      <c r="C334" s="38" t="str">
        <f>Extrato26!C334</f>
        <v/>
      </c>
      <c r="D334" s="49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ht="22.5" customHeight="1">
      <c r="A335" s="37" t="str">
        <f>Extrato26!A335</f>
        <v/>
      </c>
      <c r="B335" s="38" t="str">
        <f>Extrato26!B335</f>
        <v/>
      </c>
      <c r="C335" s="38" t="str">
        <f>Extrato26!C335</f>
        <v/>
      </c>
      <c r="D335" s="48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ht="22.5" customHeight="1">
      <c r="A336" s="37" t="str">
        <f>Extrato26!A336</f>
        <v/>
      </c>
      <c r="B336" s="38" t="str">
        <f>Extrato26!B336</f>
        <v/>
      </c>
      <c r="C336" s="38" t="str">
        <f>Extrato26!C336</f>
        <v/>
      </c>
      <c r="D336" s="49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ht="22.5" customHeight="1">
      <c r="A337" s="37" t="str">
        <f>Extrato26!A337</f>
        <v/>
      </c>
      <c r="B337" s="38" t="str">
        <f>Extrato26!B337</f>
        <v/>
      </c>
      <c r="C337" s="38" t="str">
        <f>Extrato26!C337</f>
        <v/>
      </c>
      <c r="D337" s="48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ht="22.5" customHeight="1">
      <c r="A338" s="37" t="str">
        <f>Extrato26!A338</f>
        <v/>
      </c>
      <c r="B338" s="38" t="str">
        <f>Extrato26!B338</f>
        <v/>
      </c>
      <c r="C338" s="38" t="str">
        <f>Extrato26!C338</f>
        <v/>
      </c>
      <c r="D338" s="49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ht="22.5" customHeight="1">
      <c r="A339" s="37" t="str">
        <f>Extrato26!A339</f>
        <v/>
      </c>
      <c r="B339" s="38" t="str">
        <f>Extrato26!B339</f>
        <v/>
      </c>
      <c r="C339" s="38" t="str">
        <f>Extrato26!C339</f>
        <v/>
      </c>
      <c r="D339" s="48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ht="22.5" customHeight="1">
      <c r="A340" s="37" t="str">
        <f>Extrato26!A340</f>
        <v/>
      </c>
      <c r="B340" s="38" t="str">
        <f>Extrato26!B340</f>
        <v/>
      </c>
      <c r="C340" s="38" t="str">
        <f>Extrato26!C340</f>
        <v/>
      </c>
      <c r="D340" s="49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ht="22.5" customHeight="1">
      <c r="A341" s="37" t="str">
        <f>Extrato26!A341</f>
        <v/>
      </c>
      <c r="B341" s="38" t="str">
        <f>Extrato26!B341</f>
        <v/>
      </c>
      <c r="C341" s="38" t="str">
        <f>Extrato26!C341</f>
        <v/>
      </c>
      <c r="D341" s="50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ht="15.75" customHeight="1">
      <c r="A342" s="37" t="str">
        <f>Extrato26!A342</f>
        <v/>
      </c>
      <c r="B342" s="38" t="str">
        <f>Extrato26!B342</f>
        <v/>
      </c>
      <c r="C342" s="38" t="str">
        <f>Extrato26!C342</f>
        <v/>
      </c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ht="15.75" customHeight="1">
      <c r="A343" s="37" t="str">
        <f>Extrato26!A343</f>
        <v/>
      </c>
      <c r="B343" s="38" t="str">
        <f>Extrato26!B343</f>
        <v/>
      </c>
      <c r="C343" s="38" t="str">
        <f>Extrato26!C343</f>
        <v/>
      </c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ht="15.75" customHeight="1">
      <c r="A344" s="37" t="str">
        <f>Extrato26!A344</f>
        <v/>
      </c>
      <c r="B344" s="38" t="str">
        <f>Extrato26!B344</f>
        <v/>
      </c>
      <c r="C344" s="38" t="str">
        <f>Extrato26!C344</f>
        <v/>
      </c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ht="15.75" customHeight="1">
      <c r="A345" s="37" t="str">
        <f>Extrato26!A345</f>
        <v/>
      </c>
      <c r="B345" s="38" t="str">
        <f>Extrato26!B345</f>
        <v/>
      </c>
      <c r="C345" s="38" t="str">
        <f>Extrato26!C345</f>
        <v/>
      </c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ht="15.75" customHeight="1">
      <c r="A346" s="37" t="str">
        <f>Extrato26!A346</f>
        <v/>
      </c>
      <c r="B346" s="38" t="str">
        <f>Extrato26!B346</f>
        <v/>
      </c>
      <c r="C346" s="38" t="str">
        <f>Extrato26!C346</f>
        <v/>
      </c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ht="15.75" customHeight="1">
      <c r="A347" s="37" t="str">
        <f>Extrato26!A347</f>
        <v/>
      </c>
      <c r="B347" s="38" t="str">
        <f>Extrato26!B347</f>
        <v/>
      </c>
      <c r="C347" s="38" t="str">
        <f>Extrato26!C347</f>
        <v/>
      </c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ht="15.75" customHeight="1">
      <c r="A348" s="37" t="str">
        <f>Extrato26!A348</f>
        <v/>
      </c>
      <c r="B348" s="38" t="str">
        <f>Extrato26!B348</f>
        <v/>
      </c>
      <c r="C348" s="38" t="str">
        <f>Extrato26!C348</f>
        <v/>
      </c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ht="15.75" customHeight="1">
      <c r="A349" s="37" t="str">
        <f>Extrato26!A349</f>
        <v/>
      </c>
      <c r="B349" s="38" t="str">
        <f>Extrato26!B349</f>
        <v/>
      </c>
      <c r="C349" s="38" t="str">
        <f>Extrato26!C349</f>
        <v/>
      </c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ht="15.75" customHeight="1">
      <c r="A350" s="37" t="str">
        <f>Extrato26!A350</f>
        <v/>
      </c>
      <c r="B350" s="38" t="str">
        <f>Extrato26!B350</f>
        <v/>
      </c>
      <c r="C350" s="38" t="str">
        <f>Extrato26!C350</f>
        <v/>
      </c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ht="15.75" customHeight="1">
      <c r="A351" s="37" t="str">
        <f>Extrato26!A351</f>
        <v/>
      </c>
      <c r="B351" s="38" t="str">
        <f>Extrato26!B351</f>
        <v/>
      </c>
      <c r="C351" s="38" t="str">
        <f>Extrato26!C351</f>
        <v/>
      </c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ht="15.75" customHeight="1">
      <c r="A352" s="37" t="str">
        <f>Extrato26!A352</f>
        <v/>
      </c>
      <c r="B352" s="38" t="str">
        <f>Extrato26!B352</f>
        <v/>
      </c>
      <c r="C352" s="38" t="str">
        <f>Extrato26!C352</f>
        <v/>
      </c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ht="15.75" customHeight="1">
      <c r="A353" s="34"/>
      <c r="B353" s="38" t="str">
        <f>Extrato26!B353</f>
        <v/>
      </c>
      <c r="C353" s="38" t="str">
        <f>Extrato26!C353</f>
        <v/>
      </c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ht="15.75" customHeight="1">
      <c r="A354" s="34"/>
      <c r="B354" s="38" t="str">
        <f>Extrato26!B354</f>
        <v/>
      </c>
      <c r="C354" s="38" t="str">
        <f>Extrato26!C354</f>
        <v/>
      </c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ht="15.75" customHeight="1">
      <c r="A355" s="34"/>
      <c r="B355" s="38" t="str">
        <f>Extrato26!B355</f>
        <v/>
      </c>
      <c r="C355" s="38" t="str">
        <f>Extrato26!C355</f>
        <v/>
      </c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ht="15.75" customHeight="1">
      <c r="A356" s="34"/>
      <c r="B356" s="38" t="str">
        <f>Extrato26!B356</f>
        <v/>
      </c>
      <c r="C356" s="38" t="str">
        <f>Extrato26!C356</f>
        <v/>
      </c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341">
      <formula1>"Pró-labore,Salário,Renda extra,Investimento (Entrada),Outros (Entrada),Lanche,Roupa,Transporte,Igreja,Manutenção Casa,Presentes,Outros (Saída),Manutenção Casa,Financiamento casa,Empréstimo,Água,Energia,Internet / Recarga,Feira,Farmácia,Exames,Imposto MEI,"&amp;"Corte de cabelo,Consórcio moto,Estudos,Investimento (Saída),Academia"</formula1>
    </dataValidation>
    <dataValidation type="custom" allowBlank="1" showDropDown="1" sqref="A2:A35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1" t="s">
        <v>57</v>
      </c>
      <c r="B1" s="52" t="s">
        <v>59</v>
      </c>
      <c r="C1" s="53" t="s">
        <v>61</v>
      </c>
      <c r="D1" s="53" t="s">
        <v>58</v>
      </c>
    </row>
    <row r="2" ht="15.75" customHeight="1">
      <c r="A2" s="54">
        <v>46063.0</v>
      </c>
      <c r="B2" s="55">
        <v>10.0</v>
      </c>
      <c r="C2" s="55" t="s">
        <v>62</v>
      </c>
      <c r="D2" s="55" t="s">
        <v>62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