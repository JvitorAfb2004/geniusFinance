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ntando" sheetId="1" r:id="rId5"/>
    <sheet state="hidden" name="Março" sheetId="2" r:id="rId6"/>
    <sheet state="hidden" name="Abril" sheetId="3" r:id="rId7"/>
    <sheet state="hidden" name="Maio" sheetId="4" r:id="rId8"/>
    <sheet state="hidden" name="Novembro" sheetId="5" r:id="rId9"/>
    <sheet state="hidden" name="Dezembro" sheetId="6" r:id="rId10"/>
    <sheet state="hidden" name="Janeiro" sheetId="7" r:id="rId11"/>
    <sheet state="hidden" name="Fevereiro" sheetId="8" r:id="rId12"/>
    <sheet state="visible" name="Marco" sheetId="9" r:id="rId13"/>
    <sheet state="visible" name="Abril26" sheetId="10" r:id="rId14"/>
    <sheet state="visible" name="Maio26" sheetId="11" r:id="rId15"/>
    <sheet state="visible" name="Junho26" sheetId="12" r:id="rId16"/>
  </sheets>
  <definedNames/>
  <calcPr/>
</workbook>
</file>

<file path=xl/sharedStrings.xml><?xml version="1.0" encoding="utf-8"?>
<sst xmlns="http://schemas.openxmlformats.org/spreadsheetml/2006/main" count="407" uniqueCount="208">
  <si>
    <t>PLANILHA DE CONTROLE FINANCEIRO</t>
  </si>
  <si>
    <t>JUNTAR DINHEIRO</t>
  </si>
  <si>
    <t>FINALIDADE</t>
  </si>
  <si>
    <t>Banco</t>
  </si>
  <si>
    <t>VALOR</t>
  </si>
  <si>
    <t>GUARDADO</t>
  </si>
  <si>
    <t>FALTA</t>
  </si>
  <si>
    <t>ENTRADAS</t>
  </si>
  <si>
    <t>DESPESAS</t>
  </si>
  <si>
    <t>DESCRIÇÃO</t>
  </si>
  <si>
    <t>VALOR MÉDIO</t>
  </si>
  <si>
    <t>Imobiliaria 1 OK</t>
  </si>
  <si>
    <t>ESSENCIAIS</t>
  </si>
  <si>
    <t>ENERGIA</t>
  </si>
  <si>
    <t>CarroDigital</t>
  </si>
  <si>
    <t>Marketplace OK</t>
  </si>
  <si>
    <t>TOTAL DE ENTRADAS</t>
  </si>
  <si>
    <t>NÃO ESSENCIAIS</t>
  </si>
  <si>
    <t>TOTAL DE DESPESAS ESSENCIAIS</t>
  </si>
  <si>
    <t>TOTAL DE DESPESAS NÃO ESSENCIAIS</t>
  </si>
  <si>
    <t>TOTAL GERAL DE DESPESAS</t>
  </si>
  <si>
    <t>Imobiliaria – 560</t>
  </si>
  <si>
    <t>PAGAR PRIMEIRO</t>
  </si>
  <si>
    <t>App imobiliaria – 800</t>
  </si>
  <si>
    <t>paleta</t>
  </si>
  <si>
    <t>App FlutterFlow OK</t>
  </si>
  <si>
    <t>s</t>
  </si>
  <si>
    <t>VAI SOBRAR</t>
  </si>
  <si>
    <t>PAGAR DEPOIS</t>
  </si>
  <si>
    <t>Nubank</t>
  </si>
  <si>
    <t>SEU SALDO GUARDADO</t>
  </si>
  <si>
    <t>FALTA GUARDAR</t>
  </si>
  <si>
    <t>FEIRA</t>
  </si>
  <si>
    <t>fone</t>
  </si>
  <si>
    <t>….</t>
  </si>
  <si>
    <t>Ventilador</t>
  </si>
  <si>
    <t>TOTAL DE DESPESAS PAGAR LOGO</t>
  </si>
  <si>
    <t>TOTAL DE DESPESAS PAGAR DEPOIS</t>
  </si>
  <si>
    <t>JAIR</t>
  </si>
  <si>
    <t>Servidor + e-mail</t>
  </si>
  <si>
    <t>ACHEICASA RECEBI</t>
  </si>
  <si>
    <t>Internet</t>
  </si>
  <si>
    <t>VIAPET</t>
  </si>
  <si>
    <t>Bicicleta (até 26/05)</t>
  </si>
  <si>
    <t>LotoJack</t>
  </si>
  <si>
    <t>Kaliny</t>
  </si>
  <si>
    <t>…</t>
  </si>
  <si>
    <t xml:space="preserve">Achei Casa 99Freelas </t>
  </si>
  <si>
    <t>Fone</t>
  </si>
  <si>
    <t>AcheiCasa</t>
  </si>
  <si>
    <t>outros</t>
  </si>
  <si>
    <t>Games Vitor 26/05 +  80</t>
  </si>
  <si>
    <t>feira</t>
  </si>
  <si>
    <t>Ecommerces Entrada</t>
  </si>
  <si>
    <t>Feira</t>
  </si>
  <si>
    <t>Energia</t>
  </si>
  <si>
    <t>99Freelas</t>
  </si>
  <si>
    <t>Palheta + mousepad</t>
  </si>
  <si>
    <t>FALTA RECEBER</t>
  </si>
  <si>
    <t>GUARDAR</t>
  </si>
  <si>
    <t>Oculos</t>
  </si>
  <si>
    <t>SAIDAS</t>
  </si>
  <si>
    <t>Pago</t>
  </si>
  <si>
    <t>Jair</t>
  </si>
  <si>
    <t>Consorcio</t>
  </si>
  <si>
    <t>Academia</t>
  </si>
  <si>
    <t>Veterinaria</t>
  </si>
  <si>
    <t>internet</t>
  </si>
  <si>
    <t>Back end futebol</t>
  </si>
  <si>
    <t>pnbl</t>
  </si>
  <si>
    <t>estrelas</t>
  </si>
  <si>
    <t>viabairro</t>
  </si>
  <si>
    <t>Setoconazol</t>
  </si>
  <si>
    <t>EnglishBay 20/11</t>
  </si>
  <si>
    <t>lavar mto</t>
  </si>
  <si>
    <t>produto limpeza</t>
  </si>
  <si>
    <t>mouse ROBSON</t>
  </si>
  <si>
    <t>TOTAL ENTRADA</t>
  </si>
  <si>
    <t>Documento</t>
  </si>
  <si>
    <t>gasolina</t>
  </si>
  <si>
    <t>SALARIO DEZEMBRO</t>
  </si>
  <si>
    <t>QODER</t>
  </si>
  <si>
    <t>SALDO CAIXINHA</t>
  </si>
  <si>
    <t>Dominio cardapiu</t>
  </si>
  <si>
    <t>rdm</t>
  </si>
  <si>
    <t>VALOR GASTO BESTEIRA</t>
  </si>
  <si>
    <t>NAO PAGO</t>
  </si>
  <si>
    <t>PAGO</t>
  </si>
  <si>
    <t>GASTO COM OUTRAS COISAS</t>
  </si>
  <si>
    <t>App AlugMotos</t>
  </si>
  <si>
    <t>coisas de mainha</t>
  </si>
  <si>
    <t>back end  futebol</t>
  </si>
  <si>
    <t>marketing vet</t>
  </si>
  <si>
    <t>Vet Mensal</t>
  </si>
  <si>
    <t>Loja virtual</t>
  </si>
  <si>
    <t>ermeson 09/10</t>
  </si>
  <si>
    <t>gas</t>
  </si>
  <si>
    <t>Casa da leid****</t>
  </si>
  <si>
    <t>ajuntament</t>
  </si>
  <si>
    <t>CARTÃO</t>
  </si>
  <si>
    <t>Descrição</t>
  </si>
  <si>
    <t>Valor</t>
  </si>
  <si>
    <t>credito tim</t>
  </si>
  <si>
    <t xml:space="preserve">Vet Mensal </t>
  </si>
  <si>
    <t>chip comprei</t>
  </si>
  <si>
    <t>Vet - Forum</t>
  </si>
  <si>
    <t>MOTO 1/2</t>
  </si>
  <si>
    <t>Ermeson</t>
  </si>
  <si>
    <t>GAS</t>
  </si>
  <si>
    <t>Mainha 25/01</t>
  </si>
  <si>
    <t>Lanche</t>
  </si>
  <si>
    <t>SEO</t>
  </si>
  <si>
    <t>dia 25</t>
  </si>
  <si>
    <t>Padaria</t>
  </si>
  <si>
    <t>guilherme 1/2</t>
  </si>
  <si>
    <t>MEI</t>
  </si>
  <si>
    <t>ML 1/3</t>
  </si>
  <si>
    <t xml:space="preserve">Gasolina </t>
  </si>
  <si>
    <t>Peças moto 1/2</t>
  </si>
  <si>
    <t xml:space="preserve">99 moto </t>
  </si>
  <si>
    <t xml:space="preserve">Mercado </t>
  </si>
  <si>
    <t xml:space="preserve">Ração </t>
  </si>
  <si>
    <t>TOTAL DÉBITO</t>
  </si>
  <si>
    <t>Facebook ADS</t>
  </si>
  <si>
    <t xml:space="preserve">Gastos diversos </t>
  </si>
  <si>
    <t>SALDO</t>
  </si>
  <si>
    <t>Ajuste</t>
  </si>
  <si>
    <t>N/PAGO</t>
  </si>
  <si>
    <t>Consorcio 12/02</t>
  </si>
  <si>
    <t>MOTO 2/2</t>
  </si>
  <si>
    <t>Academia 20/02</t>
  </si>
  <si>
    <t>ML 2/3</t>
  </si>
  <si>
    <t>Peças moto 2/2</t>
  </si>
  <si>
    <t>loja lorys</t>
  </si>
  <si>
    <t>internet 05/02</t>
  </si>
  <si>
    <t>Energia 1/2</t>
  </si>
  <si>
    <t>guilherme 2/2</t>
  </si>
  <si>
    <t>internet 30/02</t>
  </si>
  <si>
    <t>ML 1/2</t>
  </si>
  <si>
    <t>Glow App</t>
  </si>
  <si>
    <t>vivo</t>
  </si>
  <si>
    <t>Pizzaria</t>
  </si>
  <si>
    <t>GLOW APP WORK</t>
  </si>
  <si>
    <t xml:space="preserve">Uber </t>
  </si>
  <si>
    <t>CADEMEULEAD R$350</t>
  </si>
  <si>
    <t>CORRECAO</t>
  </si>
  <si>
    <t>SUBIR ALUGMOTOS</t>
  </si>
  <si>
    <t>Academia 10/03</t>
  </si>
  <si>
    <t>Consorcio 12/03</t>
  </si>
  <si>
    <t>Energia 2/2</t>
  </si>
  <si>
    <t>Vet Mensal 15/03</t>
  </si>
  <si>
    <t>Academia 20/03</t>
  </si>
  <si>
    <t>ML 2/2</t>
  </si>
  <si>
    <t>GLOWAPP 27/03</t>
  </si>
  <si>
    <t>Aniversário mainha  03/03</t>
  </si>
  <si>
    <t>Moto 1/3</t>
  </si>
  <si>
    <t>Nexo Delivery 10/03</t>
  </si>
  <si>
    <t>internet 30/03</t>
  </si>
  <si>
    <t>Gás 1/2</t>
  </si>
  <si>
    <t>acheicasa</t>
  </si>
  <si>
    <t>coelba</t>
  </si>
  <si>
    <t>Creatina 1/2</t>
  </si>
  <si>
    <t>Moomb  R$1.200</t>
  </si>
  <si>
    <t>AlugMotos R$1500</t>
  </si>
  <si>
    <t xml:space="preserve">Outros </t>
  </si>
  <si>
    <t>Gift Web</t>
  </si>
  <si>
    <t>melaton e vit 1/2</t>
  </si>
  <si>
    <t>CurriculoPRO R$300</t>
  </si>
  <si>
    <t>coelba 2</t>
  </si>
  <si>
    <t>palheta</t>
  </si>
  <si>
    <t xml:space="preserve">Monitor </t>
  </si>
  <si>
    <t>Prazo</t>
  </si>
  <si>
    <t xml:space="preserve">Academia </t>
  </si>
  <si>
    <t xml:space="preserve">VIVO </t>
  </si>
  <si>
    <t>internet 30/04</t>
  </si>
  <si>
    <t>mainha</t>
  </si>
  <si>
    <t>energia CASA</t>
  </si>
  <si>
    <t>pagina do Marcelo</t>
  </si>
  <si>
    <t>energia JAIR</t>
  </si>
  <si>
    <t>CurriculoPRO</t>
  </si>
  <si>
    <t>farda kaliny</t>
  </si>
  <si>
    <t xml:space="preserve">AlugMotos </t>
  </si>
  <si>
    <t>doc</t>
  </si>
  <si>
    <t>Cartão</t>
  </si>
  <si>
    <t>99freelas</t>
  </si>
  <si>
    <t>perfume</t>
  </si>
  <si>
    <t>corte</t>
  </si>
  <si>
    <t>MEIO</t>
  </si>
  <si>
    <t>anterior</t>
  </si>
  <si>
    <t>carne</t>
  </si>
  <si>
    <t>GLOWAPP 27/05</t>
  </si>
  <si>
    <t>INTERNET</t>
  </si>
  <si>
    <t>b12</t>
  </si>
  <si>
    <t>AlugMotos R$1000</t>
  </si>
  <si>
    <t>VIVO</t>
  </si>
  <si>
    <t>FINAL</t>
  </si>
  <si>
    <t>lanche</t>
  </si>
  <si>
    <t>CONSORCIO</t>
  </si>
  <si>
    <t>ml 1/2</t>
  </si>
  <si>
    <t>ACADEMIA</t>
  </si>
  <si>
    <t xml:space="preserve">email </t>
  </si>
  <si>
    <t xml:space="preserve">Pneu moto </t>
  </si>
  <si>
    <t>Ml 1/2</t>
  </si>
  <si>
    <t>formatura kaliny</t>
  </si>
  <si>
    <t>ração</t>
  </si>
  <si>
    <t>VPS 1/0</t>
  </si>
  <si>
    <t>diversos</t>
  </si>
  <si>
    <t>apple 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</si>
</sst>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#,##0.00"/>
    <numFmt numFmtId="165" formatCode="[$R$-416]\ #,##0.00;[RED]\-[$R$-416]\ #,##0.00"/>
    <numFmt numFmtId="166" formatCode="&quot;R$ &quot;#,##0.00"/>
    <numFmt numFmtId="167" formatCode="dd/mm"/>
  </numFmts>
  <fonts count="19">
    <font>
      <sz val="11.0"/>
      <color rgb="FF000000"/>
      <name val="Calibri"/>
      <scheme val="minor"/>
    </font>
    <font>
      <b/>
      <sz val="26.0"/>
      <color rgb="FF000000"/>
      <name val="Calibri"/>
    </font>
    <font>
      <b/>
      <sz val="14.0"/>
      <color rgb="FF000000"/>
      <name val="Calibri"/>
    </font>
    <font>
      <i/>
      <sz val="10.0"/>
      <color rgb="FF000000"/>
      <name val="Calibri"/>
    </font>
    <font>
      <b/>
      <sz val="16.0"/>
      <color rgb="FFFFFF00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sz val="11.0"/>
      <color rgb="FFFFCC00"/>
      <name val="Calibri"/>
    </font>
    <font>
      <sz val="16.0"/>
      <color rgb="FF000000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sz val="11.0"/>
      <color theme="1"/>
      <name val="Calibri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81D41A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3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top/>
    </border>
    <border>
      <left/>
      <right/>
      <bottom/>
    </border>
    <border>
      <left/>
      <top/>
    </border>
    <border>
      <top/>
    </border>
    <border>
      <left/>
      <bottom/>
    </border>
    <border>
      <bottom/>
    </border>
    <border>
      <right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right" shrinkToFit="0" vertical="top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2" fillId="0" fontId="5" numFmtId="0" xfId="0" applyBorder="1" applyFont="1"/>
    <xf borderId="3" fillId="0" fontId="5" numFmtId="0" xfId="0" applyBorder="1" applyFont="1"/>
    <xf borderId="4" fillId="3" fontId="4" numFmtId="0" xfId="0" applyAlignment="1" applyBorder="1" applyFill="1" applyFont="1">
      <alignment horizontal="center" shrinkToFit="0" vertical="center" wrapText="0"/>
    </xf>
    <xf borderId="5" fillId="0" fontId="5" numFmtId="0" xfId="0" applyBorder="1" applyFont="1"/>
    <xf borderId="6" fillId="3" fontId="4" numFmtId="0" xfId="0" applyAlignment="1" applyBorder="1" applyFont="1">
      <alignment horizontal="center" shrinkToFit="0" vertical="center" wrapText="0"/>
    </xf>
    <xf borderId="6" fillId="3" fontId="6" numFmtId="0" xfId="0" applyAlignment="1" applyBorder="1" applyFont="1">
      <alignment shrinkToFit="0" vertical="bottom" wrapText="0"/>
    </xf>
    <xf borderId="7" fillId="4" fontId="7" numFmtId="0" xfId="0" applyAlignment="1" applyBorder="1" applyFill="1" applyFont="1">
      <alignment horizontal="center" readingOrder="0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5" fillId="3" fontId="7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7" fillId="3" fontId="6" numFmtId="0" xfId="0" applyAlignment="1" applyBorder="1" applyFont="1">
      <alignment horizontal="left" readingOrder="0" shrinkToFit="0" vertical="center" wrapText="0"/>
    </xf>
    <xf borderId="7" fillId="3" fontId="6" numFmtId="164" xfId="0" applyAlignment="1" applyBorder="1" applyFont="1" applyNumberFormat="1">
      <alignment horizontal="center" readingOrder="0" shrinkToFit="0" vertical="center" wrapText="0"/>
    </xf>
    <xf borderId="7" fillId="0" fontId="6" numFmtId="164" xfId="0" applyAlignment="1" applyBorder="1" applyFont="1" applyNumberFormat="1">
      <alignment horizontal="center" shrinkToFit="0" vertical="center" wrapText="0"/>
    </xf>
    <xf borderId="5" fillId="3" fontId="6" numFmtId="0" xfId="0" applyAlignment="1" applyBorder="1" applyFont="1">
      <alignment horizontal="left" shrinkToFit="0" vertical="center" wrapText="0"/>
    </xf>
    <xf borderId="6" fillId="3" fontId="6" numFmtId="164" xfId="0" applyAlignment="1" applyBorder="1" applyFont="1" applyNumberFormat="1">
      <alignment horizontal="center" shrinkToFit="0" vertical="center" wrapText="0"/>
    </xf>
    <xf borderId="7" fillId="3" fontId="6" numFmtId="164" xfId="0" applyAlignment="1" applyBorder="1" applyFont="1" applyNumberFormat="1">
      <alignment horizontal="center" shrinkToFit="0" vertical="center" wrapText="0"/>
    </xf>
    <xf borderId="7" fillId="3" fontId="6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shrinkToFit="0" vertical="center" wrapText="0"/>
    </xf>
    <xf borderId="8" fillId="4" fontId="7" numFmtId="0" xfId="0" applyAlignment="1" applyBorder="1" applyFont="1">
      <alignment shrinkToFit="0" vertical="center" wrapText="0"/>
    </xf>
    <xf borderId="8" fillId="4" fontId="7" numFmtId="164" xfId="0" applyAlignment="1" applyBorder="1" applyFont="1" applyNumberFormat="1">
      <alignment horizontal="center" shrinkToFit="0" vertical="center" wrapText="0"/>
    </xf>
    <xf borderId="9" fillId="3" fontId="7" numFmtId="0" xfId="0" applyAlignment="1" applyBorder="1" applyFont="1">
      <alignment shrinkToFit="0" vertical="center" wrapText="0"/>
    </xf>
    <xf borderId="6" fillId="3" fontId="7" numFmtId="164" xfId="0" applyAlignment="1" applyBorder="1" applyFont="1" applyNumberFormat="1">
      <alignment horizontal="center" shrinkToFit="0" vertical="center" wrapText="0"/>
    </xf>
    <xf borderId="0" fillId="3" fontId="8" numFmtId="0" xfId="0" applyFont="1"/>
    <xf borderId="0" fillId="0" fontId="6" numFmtId="0" xfId="0" applyAlignment="1" applyFont="1">
      <alignment shrinkToFit="0" vertical="center" wrapText="0"/>
    </xf>
    <xf borderId="0" fillId="0" fontId="6" numFmtId="164" xfId="0" applyAlignment="1" applyFont="1" applyNumberFormat="1">
      <alignment horizontal="center" shrinkToFit="0" vertical="center" wrapText="0"/>
    </xf>
    <xf borderId="10" fillId="3" fontId="7" numFmtId="0" xfId="0" applyAlignment="1" applyBorder="1" applyFont="1">
      <alignment horizontal="center" shrinkToFit="0" textRotation="90" vertical="center" wrapText="0"/>
    </xf>
    <xf borderId="6" fillId="3" fontId="6" numFmtId="0" xfId="0" applyAlignment="1" applyBorder="1" applyFont="1">
      <alignment horizontal="left" shrinkToFit="0" vertical="center" wrapText="0"/>
    </xf>
    <xf borderId="0" fillId="0" fontId="9" numFmtId="0" xfId="0" applyAlignment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textRotation="90" vertical="center" wrapText="0"/>
    </xf>
    <xf borderId="11" fillId="2" fontId="9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9" fillId="0" fontId="5" numFmtId="0" xfId="0" applyBorder="1" applyFont="1"/>
    <xf borderId="0" fillId="2" fontId="9" numFmtId="0" xfId="0" applyAlignment="1" applyFont="1">
      <alignment horizontal="center" shrinkToFit="0" vertical="center" wrapText="1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" fillId="2" fontId="4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16" fillId="4" fontId="7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17" fillId="4" fontId="7" numFmtId="0" xfId="0" applyAlignment="1" applyBorder="1" applyFont="1">
      <alignment horizontal="center" shrinkToFit="0" vertical="center" wrapText="0"/>
    </xf>
    <xf borderId="18" fillId="0" fontId="6" numFmtId="0" xfId="0" applyAlignment="1" applyBorder="1" applyFont="1">
      <alignment horizontal="left" shrinkToFit="0" vertical="center" wrapText="0"/>
    </xf>
    <xf borderId="19" fillId="0" fontId="6" numFmtId="164" xfId="0" applyAlignment="1" applyBorder="1" applyFont="1" applyNumberFormat="1">
      <alignment horizontal="center" shrinkToFit="0" vertical="center" wrapText="0"/>
    </xf>
    <xf borderId="8" fillId="0" fontId="7" numFmtId="0" xfId="0" applyAlignment="1" applyBorder="1" applyFont="1">
      <alignment horizontal="center" shrinkToFit="0" textRotation="90" vertical="center" wrapText="0"/>
    </xf>
    <xf borderId="20" fillId="0" fontId="6" numFmtId="164" xfId="0" applyAlignment="1" applyBorder="1" applyFont="1" applyNumberFormat="1">
      <alignment horizontal="center" shrinkToFit="0" vertical="center" wrapText="0"/>
    </xf>
    <xf borderId="21" fillId="0" fontId="6" numFmtId="0" xfId="0" applyAlignment="1" applyBorder="1" applyFont="1">
      <alignment horizontal="left" shrinkToFit="0" vertical="center" wrapText="0"/>
    </xf>
    <xf borderId="22" fillId="0" fontId="5" numFmtId="0" xfId="0" applyBorder="1" applyFont="1"/>
    <xf borderId="23" fillId="0" fontId="6" numFmtId="0" xfId="0" applyAlignment="1" applyBorder="1" applyFont="1">
      <alignment horizontal="left" shrinkToFit="0" vertical="center" wrapText="0"/>
    </xf>
    <xf borderId="24" fillId="0" fontId="6" numFmtId="164" xfId="0" applyAlignment="1" applyBorder="1" applyFont="1" applyNumberFormat="1">
      <alignment horizontal="center" shrinkToFit="0" vertical="center" wrapText="0"/>
    </xf>
    <xf borderId="7" fillId="4" fontId="7" numFmtId="0" xfId="0" applyAlignment="1" applyBorder="1" applyFont="1">
      <alignment shrinkToFit="0" vertical="center" wrapText="0"/>
    </xf>
    <xf borderId="16" fillId="4" fontId="7" numFmtId="164" xfId="0" applyAlignment="1" applyBorder="1" applyFont="1" applyNumberFormat="1">
      <alignment horizontal="center" shrinkToFit="0" vertical="center" wrapText="0"/>
    </xf>
    <xf borderId="25" fillId="0" fontId="5" numFmtId="0" xfId="0" applyBorder="1" applyFont="1"/>
    <xf borderId="8" fillId="4" fontId="7" numFmtId="0" xfId="0" applyAlignment="1" applyBorder="1" applyFont="1">
      <alignment horizontal="center" shrinkToFit="0" vertical="center" wrapText="1"/>
    </xf>
    <xf borderId="8" fillId="5" fontId="11" numFmtId="164" xfId="0" applyAlignment="1" applyBorder="1" applyFill="1" applyFont="1" applyNumberFormat="1">
      <alignment horizontal="center" shrinkToFit="0" vertical="center" wrapText="0"/>
    </xf>
    <xf borderId="26" fillId="0" fontId="6" numFmtId="0" xfId="0" applyAlignment="1" applyBorder="1" applyFont="1">
      <alignment horizontal="left" shrinkToFit="0" vertical="center" wrapText="0"/>
    </xf>
    <xf borderId="27" fillId="0" fontId="6" numFmtId="164" xfId="0" applyAlignment="1" applyBorder="1" applyFont="1" applyNumberFormat="1">
      <alignment horizontal="center" shrinkToFit="0" vertical="center" wrapText="0"/>
    </xf>
    <xf borderId="8" fillId="0" fontId="12" numFmtId="164" xfId="0" applyAlignment="1" applyBorder="1" applyFont="1" applyNumberFormat="1">
      <alignment horizontal="center" shrinkToFit="0" vertical="center" wrapText="0"/>
    </xf>
    <xf borderId="28" fillId="0" fontId="6" numFmtId="0" xfId="0" applyAlignment="1" applyBorder="1" applyFont="1">
      <alignment horizontal="left" shrinkToFit="0" vertical="center" wrapText="0"/>
    </xf>
    <xf borderId="29" fillId="0" fontId="6" numFmtId="164" xfId="0" applyAlignment="1" applyBorder="1" applyFont="1" applyNumberFormat="1">
      <alignment horizontal="center" shrinkToFit="0" vertical="center" wrapText="0"/>
    </xf>
    <xf borderId="17" fillId="4" fontId="7" numFmtId="164" xfId="0" applyAlignment="1" applyBorder="1" applyFont="1" applyNumberFormat="1">
      <alignment horizontal="center" shrinkToFit="0" vertical="center" wrapText="0"/>
    </xf>
    <xf borderId="30" fillId="5" fontId="6" numFmtId="164" xfId="0" applyAlignment="1" applyBorder="1" applyFont="1" applyNumberFormat="1">
      <alignment horizontal="center" shrinkToFit="0" vertical="center" wrapText="0"/>
    </xf>
    <xf borderId="31" fillId="5" fontId="6" numFmtId="164" xfId="0" applyAlignment="1" applyBorder="1" applyFont="1" applyNumberFormat="1">
      <alignment horizontal="center" shrinkToFit="0" vertical="center" wrapText="0"/>
    </xf>
    <xf borderId="0" fillId="0" fontId="8" numFmtId="0" xfId="0" applyFont="1"/>
    <xf borderId="24" fillId="0" fontId="6" numFmtId="165" xfId="0" applyAlignment="1" applyBorder="1" applyFont="1" applyNumberFormat="1">
      <alignment horizontal="center" shrinkToFit="0" vertical="center" wrapText="0"/>
    </xf>
    <xf borderId="20" fillId="0" fontId="6" numFmtId="165" xfId="0" applyAlignment="1" applyBorder="1" applyFont="1" applyNumberFormat="1">
      <alignment horizontal="center" shrinkToFit="0" vertical="center" wrapText="0"/>
    </xf>
    <xf borderId="32" fillId="6" fontId="6" numFmtId="164" xfId="0" applyAlignment="1" applyBorder="1" applyFill="1" applyFont="1" applyNumberFormat="1">
      <alignment horizontal="center" shrinkToFit="0" vertical="center" wrapText="0"/>
    </xf>
    <xf borderId="21" fillId="6" fontId="6" numFmtId="0" xfId="0" applyAlignment="1" applyBorder="1" applyFont="1">
      <alignment horizontal="left" shrinkToFit="0" vertical="center" wrapText="0"/>
    </xf>
    <xf borderId="30" fillId="6" fontId="6" numFmtId="164" xfId="0" applyAlignment="1" applyBorder="1" applyFont="1" applyNumberFormat="1">
      <alignment horizontal="center" shrinkToFit="0" vertical="center" wrapText="0"/>
    </xf>
    <xf borderId="21" fillId="0" fontId="6" numFmtId="0" xfId="0" applyAlignment="1" applyBorder="1" applyFont="1">
      <alignment horizontal="left" readingOrder="0" shrinkToFit="0" vertical="center" wrapText="0"/>
    </xf>
    <xf borderId="30" fillId="6" fontId="6" numFmtId="164" xfId="0" applyAlignment="1" applyBorder="1" applyFont="1" applyNumberFormat="1">
      <alignment horizontal="center" readingOrder="0" shrinkToFit="0" vertical="center" wrapText="0"/>
    </xf>
    <xf borderId="33" fillId="6" fontId="6" numFmtId="0" xfId="0" applyAlignment="1" applyBorder="1" applyFont="1">
      <alignment horizontal="left" shrinkToFit="0" vertical="center" wrapText="0"/>
    </xf>
    <xf borderId="31" fillId="6" fontId="6" numFmtId="164" xfId="0" applyAlignment="1" applyBorder="1" applyFont="1" applyNumberFormat="1">
      <alignment horizontal="center" shrinkToFit="0" vertical="center" wrapText="0"/>
    </xf>
    <xf borderId="23" fillId="0" fontId="6" numFmtId="0" xfId="0" applyAlignment="1" applyBorder="1" applyFont="1">
      <alignment horizontal="left" readingOrder="0" shrinkToFit="0" vertical="center" wrapText="0"/>
    </xf>
    <xf borderId="31" fillId="7" fontId="6" numFmtId="164" xfId="0" applyAlignment="1" applyBorder="1" applyFill="1" applyFont="1" applyNumberFormat="1">
      <alignment horizontal="center" readingOrder="0" shrinkToFit="0" vertical="center" wrapText="0"/>
    </xf>
    <xf borderId="33" fillId="7" fontId="6" numFmtId="0" xfId="0" applyAlignment="1" applyBorder="1" applyFont="1">
      <alignment horizontal="left" shrinkToFit="0" vertical="center" wrapText="0"/>
    </xf>
    <xf borderId="31" fillId="7" fontId="6" numFmtId="164" xfId="0" applyAlignment="1" applyBorder="1" applyFont="1" applyNumberFormat="1">
      <alignment horizontal="center" shrinkToFit="0" vertical="center" wrapText="0"/>
    </xf>
    <xf borderId="24" fillId="7" fontId="6" numFmtId="164" xfId="0" applyAlignment="1" applyBorder="1" applyFont="1" applyNumberFormat="1">
      <alignment horizontal="center" readingOrder="0" shrinkToFit="0" vertical="center" wrapText="0"/>
    </xf>
    <xf borderId="23" fillId="0" fontId="13" numFmtId="0" xfId="0" applyBorder="1" applyFont="1"/>
    <xf borderId="24" fillId="6" fontId="13" numFmtId="164" xfId="0" applyAlignment="1" applyBorder="1" applyFont="1" applyNumberFormat="1">
      <alignment horizontal="center"/>
    </xf>
    <xf borderId="24" fillId="6" fontId="6" numFmtId="164" xfId="0" applyAlignment="1" applyBorder="1" applyFont="1" applyNumberFormat="1">
      <alignment horizontal="center" readingOrder="0" shrinkToFit="0" vertical="center" wrapText="0"/>
    </xf>
    <xf borderId="31" fillId="6" fontId="6" numFmtId="165" xfId="0" applyAlignment="1" applyBorder="1" applyFont="1" applyNumberFormat="1">
      <alignment horizontal="center" readingOrder="0" shrinkToFit="0" vertical="center" wrapText="0"/>
    </xf>
    <xf borderId="31" fillId="6" fontId="6" numFmtId="165" xfId="0" applyAlignment="1" applyBorder="1" applyFont="1" applyNumberFormat="1">
      <alignment horizontal="center" shrinkToFit="0" vertical="center" wrapText="0"/>
    </xf>
    <xf borderId="30" fillId="6" fontId="6" numFmtId="165" xfId="0" applyAlignment="1" applyBorder="1" applyFont="1" applyNumberFormat="1">
      <alignment horizontal="center" shrinkToFit="0" vertical="center" wrapText="0"/>
    </xf>
    <xf borderId="33" fillId="6" fontId="6" numFmtId="0" xfId="0" applyAlignment="1" applyBorder="1" applyFont="1">
      <alignment horizontal="left" readingOrder="0" shrinkToFit="0" vertical="center" wrapText="0"/>
    </xf>
    <xf borderId="26" fillId="7" fontId="6" numFmtId="0" xfId="0" applyAlignment="1" applyBorder="1" applyFont="1">
      <alignment horizontal="left" readingOrder="0" shrinkToFit="0" vertical="center" wrapText="0"/>
    </xf>
    <xf borderId="34" fillId="7" fontId="6" numFmtId="164" xfId="0" applyAlignment="1" applyBorder="1" applyFont="1" applyNumberFormat="1">
      <alignment horizontal="center" readingOrder="0" shrinkToFit="0" vertical="center" wrapText="0"/>
    </xf>
    <xf borderId="18" fillId="7" fontId="6" numFmtId="0" xfId="0" applyAlignment="1" applyBorder="1" applyFont="1">
      <alignment horizontal="left" readingOrder="0" shrinkToFit="0" vertical="center" wrapText="0"/>
    </xf>
    <xf borderId="32" fillId="7" fontId="6" numFmtId="164" xfId="0" applyAlignment="1" applyBorder="1" applyFont="1" applyNumberFormat="1">
      <alignment horizontal="center" readingOrder="0" shrinkToFit="0" vertical="center" wrapText="0"/>
    </xf>
    <xf borderId="8" fillId="0" fontId="12" numFmtId="164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readingOrder="0"/>
    </xf>
    <xf borderId="30" fillId="3" fontId="6" numFmtId="164" xfId="0" applyAlignment="1" applyBorder="1" applyFont="1" applyNumberFormat="1">
      <alignment horizontal="center" readingOrder="0" shrinkToFit="0" vertical="center" wrapText="0"/>
    </xf>
    <xf borderId="8" fillId="4" fontId="7" numFmtId="0" xfId="0" applyAlignment="1" applyBorder="1" applyFont="1">
      <alignment horizontal="center" readingOrder="0" shrinkToFit="0" vertical="center" wrapText="1"/>
    </xf>
    <xf borderId="30" fillId="3" fontId="6" numFmtId="164" xfId="0" applyAlignment="1" applyBorder="1" applyFont="1" applyNumberFormat="1">
      <alignment horizontal="center" shrinkToFit="0" vertical="center" wrapText="0"/>
    </xf>
    <xf borderId="17" fillId="4" fontId="7" numFmtId="0" xfId="0" applyAlignment="1" applyBorder="1" applyFont="1">
      <alignment horizontal="center" readingOrder="0" shrinkToFit="0" vertical="center" wrapText="0"/>
    </xf>
    <xf borderId="18" fillId="0" fontId="6" numFmtId="0" xfId="0" applyAlignment="1" applyBorder="1" applyFont="1">
      <alignment horizontal="left" readingOrder="0" shrinkToFit="0" vertical="center" wrapText="0"/>
    </xf>
    <xf borderId="32" fillId="6" fontId="6" numFmtId="164" xfId="0" applyAlignment="1" applyBorder="1" applyFont="1" applyNumberFormat="1">
      <alignment horizontal="center" readingOrder="0" shrinkToFit="0" vertical="center" wrapText="0"/>
    </xf>
    <xf borderId="33" fillId="0" fontId="6" numFmtId="0" xfId="0" applyAlignment="1" applyBorder="1" applyFont="1">
      <alignment horizontal="left" readingOrder="0" shrinkToFit="0" vertical="center" wrapText="0"/>
    </xf>
    <xf borderId="31" fillId="0" fontId="6" numFmtId="164" xfId="0" applyAlignment="1" applyBorder="1" applyFont="1" applyNumberFormat="1">
      <alignment horizontal="center" readingOrder="0" shrinkToFit="0" vertical="center" wrapText="0"/>
    </xf>
    <xf borderId="23" fillId="0" fontId="13" numFmtId="0" xfId="0" applyAlignment="1" applyBorder="1" applyFont="1">
      <alignment readingOrder="0"/>
    </xf>
    <xf borderId="31" fillId="6" fontId="13" numFmtId="164" xfId="0" applyAlignment="1" applyBorder="1" applyFont="1" applyNumberFormat="1">
      <alignment horizontal="center" readingOrder="0"/>
    </xf>
    <xf borderId="33" fillId="3" fontId="6" numFmtId="0" xfId="0" applyAlignment="1" applyBorder="1" applyFont="1">
      <alignment horizontal="left" readingOrder="0" shrinkToFit="0" vertical="center" wrapText="0"/>
    </xf>
    <xf borderId="31" fillId="6" fontId="6" numFmtId="164" xfId="0" applyAlignment="1" applyBorder="1" applyFont="1" applyNumberFormat="1">
      <alignment horizontal="center" readingOrder="0" shrinkToFit="0" vertical="center" wrapText="0"/>
    </xf>
    <xf borderId="33" fillId="3" fontId="13" numFmtId="0" xfId="0" applyAlignment="1" applyBorder="1" applyFont="1">
      <alignment readingOrder="0"/>
    </xf>
    <xf borderId="20" fillId="6" fontId="6" numFmtId="164" xfId="0" applyAlignment="1" applyBorder="1" applyFont="1" applyNumberFormat="1">
      <alignment horizontal="center" readingOrder="0" shrinkToFit="0" vertical="center" wrapText="0"/>
    </xf>
    <xf borderId="31" fillId="0" fontId="13" numFmtId="164" xfId="0" applyAlignment="1" applyBorder="1" applyFont="1" applyNumberFormat="1">
      <alignment horizontal="center" readingOrder="0"/>
    </xf>
    <xf borderId="30" fillId="7" fontId="6" numFmtId="164" xfId="0" applyAlignment="1" applyBorder="1" applyFont="1" applyNumberFormat="1">
      <alignment horizontal="center" readingOrder="0" shrinkToFit="0" vertical="center" wrapText="0"/>
    </xf>
    <xf borderId="31" fillId="7" fontId="6" numFmtId="165" xfId="0" applyAlignment="1" applyBorder="1" applyFont="1" applyNumberFormat="1">
      <alignment horizontal="center" readingOrder="0" shrinkToFit="0" vertical="center" wrapText="0"/>
    </xf>
    <xf borderId="7" fillId="0" fontId="7" numFmtId="0" xfId="0" applyAlignment="1" applyBorder="1" applyFont="1">
      <alignment readingOrder="0" shrinkToFit="0" vertical="center" wrapText="0"/>
    </xf>
    <xf borderId="16" fillId="0" fontId="7" numFmtId="164" xfId="0" applyAlignment="1" applyBorder="1" applyFont="1" applyNumberFormat="1">
      <alignment horizontal="center" readingOrder="0" shrinkToFit="0" vertical="center" wrapText="0"/>
    </xf>
    <xf borderId="31" fillId="7" fontId="13" numFmtId="165" xfId="0" applyAlignment="1" applyBorder="1" applyFont="1" applyNumberFormat="1">
      <alignment horizontal="center" readingOrder="0"/>
    </xf>
    <xf borderId="8" fillId="4" fontId="2" numFmtId="0" xfId="0" applyAlignment="1" applyBorder="1" applyFont="1">
      <alignment horizontal="center" readingOrder="0" shrinkToFit="0" vertical="center" wrapText="1"/>
    </xf>
    <xf borderId="8" fillId="5" fontId="14" numFmtId="164" xfId="0" applyAlignment="1" applyBorder="1" applyFont="1" applyNumberFormat="1">
      <alignment horizontal="center" shrinkToFit="0" vertical="center" wrapText="0"/>
    </xf>
    <xf borderId="31" fillId="7" fontId="13" numFmtId="164" xfId="0" applyAlignment="1" applyBorder="1" applyFont="1" applyNumberFormat="1">
      <alignment horizontal="center" readingOrder="0"/>
    </xf>
    <xf borderId="8" fillId="7" fontId="14" numFmtId="0" xfId="0" applyAlignment="1" applyBorder="1" applyFont="1">
      <alignment horizontal="center" readingOrder="0" shrinkToFit="0" vertical="center" wrapText="1"/>
    </xf>
    <xf borderId="8" fillId="7" fontId="14" numFmtId="164" xfId="0" applyAlignment="1" applyBorder="1" applyFont="1" applyNumberFormat="1">
      <alignment horizontal="center" readingOrder="0" shrinkToFit="0" vertical="center" wrapText="0"/>
    </xf>
    <xf borderId="8" fillId="0" fontId="2" numFmtId="164" xfId="0" applyAlignment="1" applyBorder="1" applyFont="1" applyNumberFormat="1">
      <alignment horizontal="center" readingOrder="0" shrinkToFit="0" vertical="center" wrapText="0"/>
    </xf>
    <xf borderId="30" fillId="0" fontId="6" numFmtId="164" xfId="0" applyAlignment="1" applyBorder="1" applyFont="1" applyNumberFormat="1">
      <alignment horizontal="center" readingOrder="0" shrinkToFit="0" vertical="center" wrapText="0"/>
    </xf>
    <xf borderId="8" fillId="2" fontId="15" numFmtId="0" xfId="0" applyAlignment="1" applyBorder="1" applyFont="1">
      <alignment horizontal="center" readingOrder="0" shrinkToFit="0" vertical="center" wrapText="0"/>
    </xf>
    <xf borderId="35" fillId="2" fontId="15" numFmtId="164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164" xfId="0" applyAlignment="1" applyFont="1" applyNumberForma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5" numFmtId="164" xfId="0" applyAlignment="1" applyFont="1" applyNumberFormat="1">
      <alignment horizontal="center" shrinkToFit="0" vertical="center" wrapText="0"/>
    </xf>
    <xf borderId="30" fillId="7" fontId="15" numFmtId="164" xfId="0" applyAlignment="1" applyBorder="1" applyFont="1" applyNumberFormat="1">
      <alignment horizontal="center" readingOrder="0" shrinkToFit="0" vertical="center" wrapText="0"/>
    </xf>
    <xf borderId="30" fillId="6" fontId="15" numFmtId="164" xfId="0" applyAlignment="1" applyBorder="1" applyFont="1" applyNumberFormat="1">
      <alignment horizontal="center" readingOrder="0" shrinkToFit="0" vertical="center" wrapText="0"/>
    </xf>
    <xf borderId="31" fillId="7" fontId="13" numFmtId="164" xfId="0" applyAlignment="1" applyBorder="1" applyFont="1" applyNumberFormat="1">
      <alignment horizontal="center"/>
    </xf>
    <xf borderId="31" fillId="7" fontId="15" numFmtId="164" xfId="0" applyAlignment="1" applyBorder="1" applyFont="1" applyNumberFormat="1">
      <alignment horizontal="center" readingOrder="0" shrinkToFit="0" vertical="center" wrapText="0"/>
    </xf>
    <xf borderId="31" fillId="7" fontId="15" numFmtId="165" xfId="0" applyAlignment="1" applyBorder="1" applyFont="1" applyNumberFormat="1">
      <alignment horizontal="center" readingOrder="0" shrinkToFit="0" vertical="center" wrapText="0"/>
    </xf>
    <xf borderId="20" fillId="0" fontId="6" numFmtId="164" xfId="0" applyAlignment="1" applyBorder="1" applyFont="1" applyNumberFormat="1">
      <alignment horizontal="center" readingOrder="0" shrinkToFit="0" vertical="center" wrapText="0"/>
    </xf>
    <xf borderId="31" fillId="7" fontId="15" numFmtId="164" xfId="0" applyAlignment="1" applyBorder="1" applyFont="1" applyNumberFormat="1">
      <alignment horizontal="center" readingOrder="0"/>
    </xf>
    <xf borderId="31" fillId="6" fontId="15" numFmtId="165" xfId="0" applyAlignment="1" applyBorder="1" applyFont="1" applyNumberFormat="1">
      <alignment horizontal="center" readingOrder="0" shrinkToFit="0" vertical="center" wrapText="0"/>
    </xf>
    <xf borderId="31" fillId="0" fontId="13" numFmtId="165" xfId="0" applyAlignment="1" applyBorder="1" applyFont="1" applyNumberFormat="1">
      <alignment horizontal="center" readingOrder="0"/>
    </xf>
    <xf borderId="32" fillId="0" fontId="6" numFmtId="164" xfId="0" applyAlignment="1" applyBorder="1" applyFont="1" applyNumberFormat="1">
      <alignment horizontal="center" readingOrder="0" shrinkToFit="0" vertical="center" wrapText="0"/>
    </xf>
    <xf borderId="0" fillId="6" fontId="8" numFmtId="0" xfId="0" applyAlignment="1" applyFont="1">
      <alignment readingOrder="0"/>
    </xf>
    <xf borderId="20" fillId="6" fontId="13" numFmtId="164" xfId="0" applyAlignment="1" applyBorder="1" applyFont="1" applyNumberFormat="1">
      <alignment horizontal="center"/>
    </xf>
    <xf borderId="31" fillId="6" fontId="16" numFmtId="164" xfId="0" applyAlignment="1" applyBorder="1" applyFont="1" applyNumberFormat="1">
      <alignment horizontal="center" readingOrder="0" shrinkToFit="0" vertical="center" wrapText="0"/>
    </xf>
    <xf borderId="24" fillId="0" fontId="6" numFmtId="164" xfId="0" applyAlignment="1" applyBorder="1" applyFont="1" applyNumberFormat="1">
      <alignment horizontal="center" readingOrder="0" shrinkToFit="0" vertical="center" wrapText="0"/>
    </xf>
    <xf borderId="24" fillId="6" fontId="6" numFmtId="164" xfId="0" applyAlignment="1" applyBorder="1" applyFont="1" applyNumberFormat="1">
      <alignment horizontal="center" shrinkToFit="0" vertical="center" wrapText="0"/>
    </xf>
    <xf borderId="30" fillId="6" fontId="16" numFmtId="164" xfId="0" applyAlignment="1" applyBorder="1" applyFont="1" applyNumberFormat="1">
      <alignment horizontal="center" readingOrder="0" shrinkToFit="0" vertical="center" wrapText="0"/>
    </xf>
    <xf borderId="31" fillId="0" fontId="6" numFmtId="165" xfId="0" applyAlignment="1" applyBorder="1" applyFont="1" applyNumberFormat="1">
      <alignment horizontal="center" readingOrder="0" shrinkToFit="0" vertical="center" wrapText="0"/>
    </xf>
    <xf borderId="8" fillId="2" fontId="14" numFmtId="0" xfId="0" applyAlignment="1" applyBorder="1" applyFont="1">
      <alignment horizontal="center" shrinkToFit="0" vertical="center" wrapText="1"/>
    </xf>
    <xf borderId="8" fillId="2" fontId="14" numFmtId="164" xfId="0" applyAlignment="1" applyBorder="1" applyFont="1" applyNumberFormat="1">
      <alignment horizontal="center" vertical="center"/>
    </xf>
    <xf borderId="8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center" readingOrder="0" vertical="center"/>
    </xf>
    <xf borderId="0" fillId="2" fontId="8" numFmtId="0" xfId="0" applyFont="1"/>
    <xf borderId="0" fillId="0" fontId="14" numFmtId="0" xfId="0" applyAlignment="1" applyFont="1">
      <alignment horizontal="center" readingOrder="0" shrinkToFit="0" vertical="center" wrapText="1"/>
    </xf>
    <xf borderId="0" fillId="0" fontId="14" numFmtId="164" xfId="0" applyAlignment="1" applyFont="1" applyNumberFormat="1">
      <alignment horizontal="center" readingOrder="0" shrinkToFit="0" vertical="center" wrapText="0"/>
    </xf>
    <xf borderId="30" fillId="6" fontId="7" numFmtId="164" xfId="0" applyAlignment="1" applyBorder="1" applyFont="1" applyNumberFormat="1">
      <alignment horizontal="center" readingOrder="0" shrinkToFit="0" vertical="center" wrapText="0"/>
    </xf>
    <xf borderId="30" fillId="0" fontId="7" numFmtId="164" xfId="0" applyAlignment="1" applyBorder="1" applyFont="1" applyNumberFormat="1">
      <alignment horizontal="center" readingOrder="0" shrinkToFit="0" vertical="center" wrapText="0"/>
    </xf>
    <xf borderId="31" fillId="0" fontId="7" numFmtId="164" xfId="0" applyAlignment="1" applyBorder="1" applyFont="1" applyNumberFormat="1">
      <alignment horizontal="center" readingOrder="0" shrinkToFit="0" vertical="center" wrapText="0"/>
    </xf>
    <xf borderId="31" fillId="6" fontId="7" numFmtId="165" xfId="0" applyAlignment="1" applyBorder="1" applyFont="1" applyNumberFormat="1">
      <alignment horizontal="center" readingOrder="0" shrinkToFit="0" vertical="center" wrapText="0"/>
    </xf>
    <xf borderId="31" fillId="0" fontId="7" numFmtId="164" xfId="0" applyAlignment="1" applyBorder="1" applyFont="1" applyNumberFormat="1">
      <alignment horizontal="center" readingOrder="0"/>
    </xf>
    <xf borderId="31" fillId="0" fontId="7" numFmtId="165" xfId="0" applyAlignment="1" applyBorder="1" applyFont="1" applyNumberFormat="1">
      <alignment horizontal="center" readingOrder="0" shrinkToFit="0" vertical="center" wrapText="0"/>
    </xf>
    <xf borderId="33" fillId="3" fontId="13" numFmtId="0" xfId="0" applyBorder="1" applyFont="1"/>
    <xf borderId="31" fillId="7" fontId="15" numFmtId="165" xfId="0" applyAlignment="1" applyBorder="1" applyFont="1" applyNumberFormat="1">
      <alignment horizontal="center" readingOrder="0"/>
    </xf>
    <xf borderId="31" fillId="7" fontId="15" numFmtId="165" xfId="0" applyAlignment="1" applyBorder="1" applyFont="1" applyNumberFormat="1">
      <alignment horizontal="center"/>
    </xf>
    <xf borderId="33" fillId="3" fontId="13" numFmtId="0" xfId="0" applyAlignment="1" applyBorder="1" applyFont="1">
      <alignment readingOrder="0" vertical="bottom"/>
    </xf>
    <xf borderId="31" fillId="7" fontId="15" numFmtId="164" xfId="0" applyAlignment="1" applyBorder="1" applyFont="1" applyNumberFormat="1">
      <alignment horizontal="center" vertical="bottom"/>
    </xf>
    <xf borderId="8" fillId="7" fontId="14" numFmtId="0" xfId="0" applyAlignment="1" applyBorder="1" applyFont="1">
      <alignment horizontal="center" shrinkToFit="0" vertical="center" wrapText="1"/>
    </xf>
    <xf borderId="8" fillId="7" fontId="13" numFmtId="164" xfId="0" applyAlignment="1" applyBorder="1" applyFont="1" applyNumberFormat="1">
      <alignment horizontal="center" vertical="center"/>
    </xf>
    <xf borderId="8" fillId="7" fontId="14" numFmtId="164" xfId="0" applyAlignment="1" applyBorder="1" applyFont="1" applyNumberFormat="1">
      <alignment horizontal="center" vertical="center"/>
    </xf>
    <xf borderId="32" fillId="6" fontId="13" numFmtId="164" xfId="0" applyAlignment="1" applyBorder="1" applyFont="1" applyNumberFormat="1">
      <alignment horizontal="center"/>
    </xf>
    <xf borderId="23" fillId="0" fontId="13" numFmtId="0" xfId="0" applyAlignment="1" applyBorder="1" applyFont="1">
      <alignment vertical="bottom"/>
    </xf>
    <xf borderId="24" fillId="6" fontId="13" numFmtId="164" xfId="0" applyAlignment="1" applyBorder="1" applyFont="1" applyNumberFormat="1">
      <alignment horizontal="center" readingOrder="0" vertical="bottom"/>
    </xf>
    <xf borderId="20" fillId="6" fontId="13" numFmtId="164" xfId="0" applyAlignment="1" applyBorder="1" applyFont="1" applyNumberFormat="1">
      <alignment horizontal="center" vertical="bottom"/>
    </xf>
    <xf borderId="31" fillId="6" fontId="7" numFmtId="164" xfId="0" applyAlignment="1" applyBorder="1" applyFont="1" applyNumberFormat="1">
      <alignment horizontal="center" readingOrder="0" shrinkToFit="0" vertical="center" wrapText="0"/>
    </xf>
    <xf borderId="24" fillId="6" fontId="13" numFmtId="164" xfId="0" applyAlignment="1" applyBorder="1" applyFont="1" applyNumberFormat="1">
      <alignment horizontal="center" vertical="bottom"/>
    </xf>
    <xf borderId="24" fillId="6" fontId="13" numFmtId="164" xfId="0" applyAlignment="1" applyBorder="1" applyFont="1" applyNumberFormat="1">
      <alignment horizontal="center" readingOrder="0"/>
    </xf>
    <xf borderId="24" fillId="8" fontId="6" numFmtId="164" xfId="0" applyAlignment="1" applyBorder="1" applyFill="1" applyFont="1" applyNumberFormat="1">
      <alignment horizontal="center" readingOrder="0" shrinkToFit="0" vertical="center" wrapText="0"/>
    </xf>
    <xf borderId="31" fillId="7" fontId="7" numFmtId="165" xfId="0" applyAlignment="1" applyBorder="1" applyFont="1" applyNumberFormat="1">
      <alignment horizontal="center" readingOrder="0" shrinkToFit="0" vertical="center" wrapText="0"/>
    </xf>
    <xf borderId="31" fillId="7" fontId="7" numFmtId="164" xfId="0" applyAlignment="1" applyBorder="1" applyFont="1" applyNumberFormat="1">
      <alignment horizontal="center" readingOrder="0"/>
    </xf>
    <xf borderId="31" fillId="0" fontId="17" numFmtId="165" xfId="0" applyAlignment="1" applyBorder="1" applyFont="1" applyNumberFormat="1">
      <alignment horizontal="center" readingOrder="0"/>
    </xf>
    <xf borderId="8" fillId="2" fontId="16" numFmtId="164" xfId="0" applyAlignment="1" applyBorder="1" applyFont="1" applyNumberFormat="1">
      <alignment horizontal="center" readingOrder="0" vertical="center"/>
    </xf>
    <xf borderId="7" fillId="2" fontId="4" numFmtId="0" xfId="0" applyAlignment="1" applyBorder="1" applyFont="1">
      <alignment horizontal="center" readingOrder="0" shrinkToFit="0" vertical="center" wrapText="0"/>
    </xf>
    <xf borderId="32" fillId="6" fontId="13" numFmtId="166" xfId="0" applyAlignment="1" applyBorder="1" applyFont="1" applyNumberFormat="1">
      <alignment horizontal="center"/>
    </xf>
    <xf borderId="30" fillId="7" fontId="7" numFmtId="166" xfId="0" applyAlignment="1" applyBorder="1" applyFont="1" applyNumberFormat="1">
      <alignment horizontal="center" readingOrder="0" shrinkToFit="0" vertical="center" wrapText="0"/>
    </xf>
    <xf borderId="0" fillId="0" fontId="7" numFmtId="167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readingOrder="0" vertical="bottom"/>
    </xf>
    <xf borderId="0" fillId="0" fontId="17" numFmtId="166" xfId="0" applyAlignment="1" applyFont="1" applyNumberFormat="1">
      <alignment horizontal="right" readingOrder="0" vertical="bottom"/>
    </xf>
    <xf borderId="0" fillId="0" fontId="18" numFmtId="166" xfId="0" applyFont="1" applyNumberFormat="1"/>
    <xf borderId="24" fillId="6" fontId="13" numFmtId="166" xfId="0" applyAlignment="1" applyBorder="1" applyFont="1" applyNumberFormat="1">
      <alignment horizontal="center" readingOrder="0" vertical="bottom"/>
    </xf>
    <xf borderId="30" fillId="6" fontId="7" numFmtId="166" xfId="0" applyAlignment="1" applyBorder="1" applyFont="1" applyNumberFormat="1">
      <alignment horizontal="center" readingOrder="0" shrinkToFit="0" vertical="center" wrapText="0"/>
    </xf>
    <xf borderId="20" fillId="6" fontId="13" numFmtId="166" xfId="0" applyAlignment="1" applyBorder="1" applyFont="1" applyNumberFormat="1">
      <alignment horizontal="center" readingOrder="0" vertical="bottom"/>
    </xf>
    <xf borderId="33" fillId="0" fontId="13" numFmtId="0" xfId="0" applyAlignment="1" applyBorder="1" applyFont="1">
      <alignment readingOrder="0" vertical="bottom"/>
    </xf>
    <xf borderId="31" fillId="6" fontId="17" numFmtId="166" xfId="0" applyAlignment="1" applyBorder="1" applyFont="1" applyNumberFormat="1">
      <alignment horizontal="center" vertical="bottom"/>
    </xf>
    <xf borderId="31" fillId="5" fontId="17" numFmtId="166" xfId="0" applyAlignment="1" applyBorder="1" applyFont="1" applyNumberFormat="1">
      <alignment horizontal="center" readingOrder="0" vertical="bottom"/>
    </xf>
    <xf borderId="0" fillId="0" fontId="17" numFmtId="164" xfId="0" applyAlignment="1" applyFont="1" applyNumberFormat="1">
      <alignment horizontal="center" readingOrder="0" vertical="bottom"/>
    </xf>
    <xf borderId="0" fillId="0" fontId="17" numFmtId="166" xfId="0" applyAlignment="1" applyFont="1" applyNumberFormat="1">
      <alignment horizontal="right" vertical="bottom"/>
    </xf>
    <xf borderId="24" fillId="6" fontId="6" numFmtId="166" xfId="0" applyAlignment="1" applyBorder="1" applyFont="1" applyNumberFormat="1">
      <alignment horizontal="center" readingOrder="0" shrinkToFit="0" vertical="center" wrapText="0"/>
    </xf>
    <xf borderId="31" fillId="6" fontId="7" numFmtId="166" xfId="0" applyAlignment="1" applyBorder="1" applyFont="1" applyNumberFormat="1">
      <alignment horizontal="center" readingOrder="0" shrinkToFit="0" vertical="center" wrapText="0"/>
    </xf>
    <xf borderId="31" fillId="7" fontId="7" numFmtId="166" xfId="0" applyAlignment="1" applyBorder="1" applyFont="1" applyNumberFormat="1">
      <alignment horizontal="center" readingOrder="0" shrinkToFit="0" vertical="center" wrapText="0"/>
    </xf>
    <xf borderId="0" fillId="0" fontId="17" numFmtId="0" xfId="0" applyAlignment="1" applyFont="1">
      <alignment vertical="bottom"/>
    </xf>
    <xf borderId="24" fillId="0" fontId="13" numFmtId="166" xfId="0" applyAlignment="1" applyBorder="1" applyFont="1" applyNumberFormat="1">
      <alignment horizontal="center" readingOrder="0"/>
    </xf>
    <xf borderId="31" fillId="7" fontId="17" numFmtId="166" xfId="0" applyAlignment="1" applyBorder="1" applyFont="1" applyNumberFormat="1">
      <alignment horizontal="center" readingOrder="0" vertical="bottom"/>
    </xf>
    <xf borderId="33" fillId="0" fontId="13" numFmtId="0" xfId="0" applyAlignment="1" applyBorder="1" applyFont="1">
      <alignment vertical="bottom"/>
    </xf>
    <xf borderId="0" fillId="0" fontId="17" numFmtId="167" xfId="0" applyAlignment="1" applyFont="1" applyNumberFormat="1">
      <alignment horizontal="center" readingOrder="0" vertical="bottom"/>
    </xf>
    <xf borderId="0" fillId="0" fontId="18" numFmtId="0" xfId="0" applyAlignment="1" applyFont="1">
      <alignment readingOrder="0"/>
    </xf>
    <xf borderId="20" fillId="0" fontId="6" numFmtId="166" xfId="0" applyAlignment="1" applyBorder="1" applyFont="1" applyNumberFormat="1">
      <alignment horizontal="center" readingOrder="0" shrinkToFit="0" vertical="center" wrapText="0"/>
    </xf>
    <xf borderId="33" fillId="3" fontId="13" numFmtId="0" xfId="0" applyAlignment="1" applyBorder="1" applyFont="1">
      <alignment vertical="bottom"/>
    </xf>
    <xf borderId="0" fillId="0" fontId="7" numFmtId="167" xfId="0" applyAlignment="1" applyFont="1" applyNumberFormat="1">
      <alignment horizontal="center" readingOrder="0"/>
    </xf>
    <xf borderId="0" fillId="0" fontId="18" numFmtId="0" xfId="0" applyFont="1"/>
    <xf borderId="31" fillId="6" fontId="17" numFmtId="166" xfId="0" applyAlignment="1" applyBorder="1" applyFont="1" applyNumberFormat="1">
      <alignment horizontal="center"/>
    </xf>
    <xf borderId="0" fillId="0" fontId="7" numFmtId="165" xfId="0" applyAlignment="1" applyFont="1" applyNumberFormat="1">
      <alignment horizontal="center" readingOrder="0" shrinkToFit="0" vertical="center" wrapText="0"/>
    </xf>
    <xf borderId="31" fillId="7" fontId="17" numFmtId="166" xfId="0" applyAlignment="1" applyBorder="1" applyFont="1" applyNumberFormat="1">
      <alignment horizontal="center" vertical="bottom"/>
    </xf>
    <xf borderId="0" fillId="0" fontId="7" numFmtId="164" xfId="0" applyAlignment="1" applyFont="1" applyNumberFormat="1">
      <alignment horizontal="center" readingOrder="0" shrinkToFit="0" vertical="center" wrapText="0"/>
    </xf>
    <xf borderId="16" fillId="4" fontId="7" numFmtId="166" xfId="0" applyAlignment="1" applyBorder="1" applyFont="1" applyNumberFormat="1">
      <alignment horizontal="center" shrinkToFit="0" vertical="center" wrapText="0"/>
    </xf>
    <xf borderId="16" fillId="0" fontId="7" numFmtId="166" xfId="0" applyAlignment="1" applyBorder="1" applyFont="1" applyNumberFormat="1">
      <alignment horizontal="center" readingOrder="0" shrinkToFit="0" vertical="center" wrapText="0"/>
    </xf>
    <xf borderId="21" fillId="0" fontId="13" numFmtId="0" xfId="0" applyAlignment="1" applyBorder="1" applyFont="1">
      <alignment readingOrder="0"/>
    </xf>
    <xf borderId="30" fillId="6" fontId="17" numFmtId="166" xfId="0" applyAlignment="1" applyBorder="1" applyFont="1" applyNumberFormat="1">
      <alignment horizontal="center"/>
    </xf>
    <xf borderId="0" fillId="0" fontId="8" numFmtId="166" xfId="0" applyFont="1" applyNumberFormat="1"/>
    <xf borderId="21" fillId="0" fontId="13" numFmtId="0" xfId="0" applyBorder="1" applyFont="1"/>
    <xf borderId="30" fillId="4" fontId="17" numFmtId="166" xfId="0" applyAlignment="1" applyBorder="1" applyFont="1" applyNumberFormat="1">
      <alignment horizontal="center"/>
    </xf>
    <xf borderId="8" fillId="5" fontId="14" numFmtId="166" xfId="0" applyAlignment="1" applyBorder="1" applyFont="1" applyNumberFormat="1">
      <alignment horizontal="center" shrinkToFit="0" vertical="center" wrapText="0"/>
    </xf>
    <xf borderId="30" fillId="6" fontId="13" numFmtId="166" xfId="0" applyAlignment="1" applyBorder="1" applyFont="1" applyNumberFormat="1">
      <alignment horizontal="center"/>
    </xf>
    <xf borderId="0" fillId="0" fontId="17" numFmtId="164" xfId="0" applyAlignment="1" applyFont="1" applyNumberFormat="1">
      <alignment horizontal="center" readingOrder="0"/>
    </xf>
    <xf borderId="31" fillId="6" fontId="17" numFmtId="166" xfId="0" applyAlignment="1" applyBorder="1" applyFont="1" applyNumberFormat="1">
      <alignment horizontal="center" readingOrder="0"/>
    </xf>
    <xf borderId="0" fillId="0" fontId="17" numFmtId="167" xfId="0" applyAlignment="1" applyFont="1" applyNumberFormat="1">
      <alignment horizontal="center" readingOrder="0"/>
    </xf>
    <xf borderId="8" fillId="2" fontId="14" numFmtId="166" xfId="0" applyAlignment="1" applyBorder="1" applyFont="1" applyNumberFormat="1">
      <alignment horizontal="center" vertical="center"/>
    </xf>
    <xf borderId="30" fillId="4" fontId="7" numFmtId="166" xfId="0" applyAlignment="1" applyBorder="1" applyFont="1" applyNumberFormat="1">
      <alignment horizontal="center" readingOrder="0" shrinkToFit="0" vertical="center" wrapText="0"/>
    </xf>
    <xf borderId="8" fillId="2" fontId="16" numFmtId="166" xfId="0" applyAlignment="1" applyBorder="1" applyFont="1" applyNumberFormat="1">
      <alignment horizontal="center" readingOrder="0" vertical="center"/>
    </xf>
    <xf borderId="30" fillId="6" fontId="6" numFmtId="166" xfId="0" applyAlignment="1" applyBorder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30" fillId="0" fontId="6" numFmtId="166" xfId="0" applyAlignment="1" applyBorder="1" applyFont="1" applyNumberFormat="1">
      <alignment horizontal="center" readingOrder="0" shrinkToFit="0" vertical="center" wrapText="0"/>
    </xf>
    <xf borderId="0" fillId="0" fontId="8" numFmtId="166" xfId="0" applyAlignment="1" applyFont="1" applyNumberFormat="1">
      <alignment readingOrder="0"/>
    </xf>
    <xf borderId="0" fillId="2" fontId="15" numFmtId="164" xfId="0" applyAlignment="1" applyFont="1" applyNumberFormat="1">
      <alignment horizontal="center" readingOrder="0" shrinkToFit="0" vertical="center" wrapText="0"/>
    </xf>
    <xf borderId="32" fillId="0" fontId="13" numFmtId="164" xfId="0" applyAlignment="1" applyBorder="1" applyFont="1" applyNumberFormat="1">
      <alignment horizontal="center"/>
    </xf>
    <xf borderId="23" fillId="0" fontId="13" numFmtId="0" xfId="0" applyAlignment="1" applyBorder="1" applyFont="1">
      <alignment readingOrder="0" vertical="bottom"/>
    </xf>
    <xf borderId="31" fillId="7" fontId="17" numFmtId="165" xfId="0" applyAlignment="1" applyBorder="1" applyFont="1" applyNumberFormat="1">
      <alignment horizontal="center" readingOrder="0" vertical="bottom"/>
    </xf>
    <xf borderId="0" fillId="0" fontId="17" numFmtId="0" xfId="0" applyAlignment="1" applyFont="1">
      <alignment horizontal="right" readingOrder="0" vertical="bottom"/>
    </xf>
    <xf borderId="24" fillId="0" fontId="13" numFmtId="164" xfId="0" applyAlignment="1" applyBorder="1" applyFont="1" applyNumberFormat="1">
      <alignment horizontal="center" vertical="bottom"/>
    </xf>
    <xf borderId="33" fillId="0" fontId="13" numFmtId="0" xfId="0" applyAlignment="1" applyBorder="1" applyFont="1">
      <alignment readingOrder="0"/>
    </xf>
    <xf borderId="20" fillId="0" fontId="13" numFmtId="164" xfId="0" applyAlignment="1" applyBorder="1" applyFont="1" applyNumberFormat="1">
      <alignment horizontal="center" vertical="bottom"/>
    </xf>
    <xf borderId="31" fillId="7" fontId="17" numFmtId="164" xfId="0" applyAlignment="1" applyBorder="1" applyFont="1" applyNumberFormat="1">
      <alignment horizontal="center" readingOrder="0" vertical="bottom"/>
    </xf>
    <xf borderId="20" fillId="0" fontId="13" numFmtId="164" xfId="0" applyAlignment="1" applyBorder="1" applyFont="1" applyNumberFormat="1">
      <alignment horizontal="center"/>
    </xf>
    <xf borderId="31" fillId="7" fontId="7" numFmtId="164" xfId="0" applyAlignment="1" applyBorder="1" applyFont="1" applyNumberFormat="1">
      <alignment horizontal="center" readingOrder="0" shrinkToFit="0" vertical="center" wrapText="0"/>
    </xf>
    <xf borderId="24" fillId="0" fontId="13" numFmtId="164" xfId="0" applyAlignment="1" applyBorder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31" fillId="7" fontId="17" numFmtId="164" xfId="0" applyAlignment="1" applyBorder="1" applyFont="1" applyNumberFormat="1">
      <alignment horizontal="center" readingOrder="0"/>
    </xf>
    <xf borderId="31" fillId="0" fontId="17" numFmtId="164" xfId="0" applyAlignment="1" applyBorder="1" applyFont="1" applyNumberFormat="1">
      <alignment horizontal="center" readingOrder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30" fillId="7" fontId="7" numFmtId="164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4" width="12.86"/>
    <col customWidth="1" min="5" max="5" width="18.0"/>
    <col customWidth="1" min="6" max="6" width="14.57"/>
    <col customWidth="1" min="7" max="7" width="40.14"/>
    <col customWidth="1" min="8" max="8" width="52.14"/>
    <col customWidth="1" min="9" max="9" width="15.14"/>
    <col customWidth="1" min="10" max="28" width="8.71"/>
  </cols>
  <sheetData>
    <row r="1" ht="3.75" customHeight="1"/>
    <row r="2" ht="12.75" customHeight="1">
      <c r="B2" s="1" t="s">
        <v>0</v>
      </c>
    </row>
    <row r="3" ht="12.75" customHeight="1">
      <c r="B3" s="2"/>
      <c r="C3" s="2"/>
      <c r="D3" s="2"/>
      <c r="E3" s="2"/>
      <c r="F3" s="2"/>
      <c r="G3" s="2"/>
      <c r="H3" s="3"/>
    </row>
    <row r="4" ht="24.75" customHeight="1">
      <c r="B4" s="4" t="s">
        <v>1</v>
      </c>
      <c r="C4" s="5"/>
      <c r="D4" s="5"/>
      <c r="E4" s="5"/>
      <c r="F4" s="6"/>
      <c r="G4" s="7"/>
      <c r="H4" s="8"/>
      <c r="I4" s="9"/>
      <c r="J4" s="10"/>
    </row>
    <row r="5" ht="18.0" customHeight="1">
      <c r="B5" s="11" t="s">
        <v>2</v>
      </c>
      <c r="C5" s="11" t="s">
        <v>3</v>
      </c>
      <c r="D5" s="12" t="s">
        <v>4</v>
      </c>
      <c r="E5" s="11" t="s">
        <v>5</v>
      </c>
      <c r="F5" s="11" t="s">
        <v>6</v>
      </c>
      <c r="G5" s="13"/>
      <c r="H5" s="14"/>
      <c r="I5" s="14"/>
      <c r="J5" s="10"/>
    </row>
    <row r="6" ht="15.0" customHeight="1">
      <c r="B6" s="15"/>
      <c r="C6" s="16"/>
      <c r="D6" s="16">
        <v>0.0</v>
      </c>
      <c r="E6" s="16">
        <v>0.0</v>
      </c>
      <c r="F6" s="17">
        <f t="shared" ref="F6:F14" si="1">D6-E6</f>
        <v>0</v>
      </c>
      <c r="G6" s="18"/>
      <c r="H6" s="19"/>
      <c r="I6" s="19"/>
      <c r="J6" s="10"/>
    </row>
    <row r="7" ht="15.0" customHeight="1">
      <c r="B7" s="15"/>
      <c r="C7" s="20"/>
      <c r="D7" s="16">
        <v>0.0</v>
      </c>
      <c r="E7" s="16">
        <v>0.0</v>
      </c>
      <c r="F7" s="17">
        <f t="shared" si="1"/>
        <v>0</v>
      </c>
      <c r="G7" s="18"/>
      <c r="H7" s="19"/>
      <c r="I7" s="19"/>
      <c r="J7" s="10"/>
    </row>
    <row r="8" ht="15.0" customHeight="1">
      <c r="B8" s="21"/>
      <c r="C8" s="20"/>
      <c r="D8" s="20"/>
      <c r="E8" s="20"/>
      <c r="F8" s="17">
        <f t="shared" si="1"/>
        <v>0</v>
      </c>
      <c r="G8" s="18"/>
      <c r="H8" s="19"/>
      <c r="I8" s="19"/>
      <c r="J8" s="10"/>
    </row>
    <row r="9" ht="15.0" customHeight="1">
      <c r="B9" s="21"/>
      <c r="C9" s="20"/>
      <c r="D9" s="20"/>
      <c r="E9" s="20"/>
      <c r="F9" s="17">
        <f t="shared" si="1"/>
        <v>0</v>
      </c>
      <c r="G9" s="18"/>
      <c r="H9" s="19"/>
      <c r="I9" s="19"/>
      <c r="J9" s="10"/>
    </row>
    <row r="10" ht="15.0" customHeight="1">
      <c r="B10" s="22"/>
      <c r="C10" s="17"/>
      <c r="D10" s="17"/>
      <c r="E10" s="17"/>
      <c r="F10" s="17">
        <f t="shared" si="1"/>
        <v>0</v>
      </c>
      <c r="G10" s="18"/>
      <c r="H10" s="19"/>
      <c r="I10" s="19"/>
      <c r="J10" s="10"/>
    </row>
    <row r="11" ht="15.0" customHeight="1">
      <c r="B11" s="22"/>
      <c r="C11" s="17"/>
      <c r="D11" s="17"/>
      <c r="E11" s="17"/>
      <c r="F11" s="17">
        <f t="shared" si="1"/>
        <v>0</v>
      </c>
      <c r="G11" s="18"/>
      <c r="H11" s="19"/>
      <c r="I11" s="19"/>
      <c r="J11" s="10"/>
    </row>
    <row r="12" ht="15.0" customHeight="1">
      <c r="B12" s="22"/>
      <c r="C12" s="17"/>
      <c r="D12" s="17"/>
      <c r="E12" s="17"/>
      <c r="F12" s="17">
        <f t="shared" si="1"/>
        <v>0</v>
      </c>
      <c r="G12" s="18"/>
      <c r="H12" s="19"/>
      <c r="I12" s="19"/>
      <c r="J12" s="10"/>
    </row>
    <row r="13" ht="15.0" customHeight="1">
      <c r="B13" s="22"/>
      <c r="C13" s="17"/>
      <c r="D13" s="17"/>
      <c r="E13" s="17"/>
      <c r="F13" s="17">
        <f t="shared" si="1"/>
        <v>0</v>
      </c>
      <c r="G13" s="18"/>
      <c r="H13" s="19"/>
      <c r="I13" s="19"/>
      <c r="J13" s="10"/>
    </row>
    <row r="14" ht="15.0" customHeight="1">
      <c r="B14" s="22"/>
      <c r="C14" s="17"/>
      <c r="D14" s="17"/>
      <c r="E14" s="17"/>
      <c r="F14" s="17">
        <f t="shared" si="1"/>
        <v>0</v>
      </c>
      <c r="G14" s="18"/>
      <c r="H14" s="19"/>
      <c r="I14" s="19"/>
      <c r="J14" s="10"/>
    </row>
    <row r="15" ht="15.0" customHeight="1">
      <c r="B15" s="23"/>
      <c r="C15" s="24"/>
      <c r="D15" s="24"/>
      <c r="E15" s="24"/>
      <c r="F15" s="24"/>
      <c r="G15" s="25"/>
      <c r="H15" s="26"/>
      <c r="I15" s="19"/>
      <c r="J15" s="10"/>
    </row>
    <row r="16" ht="15.0" customHeight="1">
      <c r="A16" s="27"/>
      <c r="H16" s="18"/>
      <c r="I16" s="19"/>
      <c r="J16" s="10"/>
    </row>
    <row r="17" ht="15.0" customHeight="1">
      <c r="H17" s="18"/>
      <c r="I17" s="19"/>
      <c r="J17" s="10"/>
    </row>
    <row r="18" ht="15.0" customHeight="1">
      <c r="H18" s="18"/>
      <c r="I18" s="19"/>
      <c r="J18" s="10"/>
    </row>
    <row r="19" ht="15.0" customHeight="1">
      <c r="H19" s="18"/>
      <c r="I19" s="19"/>
      <c r="J19" s="10"/>
    </row>
    <row r="20" ht="15.0" customHeight="1">
      <c r="H20" s="18"/>
      <c r="I20" s="19"/>
      <c r="J20" s="10"/>
    </row>
    <row r="21" ht="15.0" customHeight="1">
      <c r="H21" s="18"/>
      <c r="I21" s="19"/>
      <c r="J21" s="10"/>
    </row>
    <row r="22" ht="15.0" customHeight="1">
      <c r="H22" s="18"/>
      <c r="I22" s="19"/>
      <c r="J22" s="10"/>
    </row>
    <row r="23" ht="15.0" customHeight="1">
      <c r="H23" s="18"/>
      <c r="I23" s="19"/>
      <c r="J23" s="10"/>
    </row>
    <row r="24" ht="15.0" customHeight="1">
      <c r="H24" s="18"/>
      <c r="I24" s="19"/>
      <c r="J24" s="10"/>
    </row>
    <row r="25" ht="15.0" customHeight="1">
      <c r="H25" s="18"/>
      <c r="I25" s="19"/>
      <c r="J25" s="10"/>
    </row>
    <row r="26" ht="15.0" customHeight="1">
      <c r="H26" s="18"/>
      <c r="I26" s="19"/>
      <c r="J26" s="10"/>
    </row>
    <row r="27" ht="15.0" customHeight="1">
      <c r="H27" s="18"/>
      <c r="I27" s="19"/>
      <c r="J27" s="10"/>
    </row>
    <row r="28" ht="15.0" customHeight="1">
      <c r="B28" s="28"/>
      <c r="C28" s="29"/>
      <c r="D28" s="29"/>
      <c r="E28" s="29"/>
      <c r="F28" s="28"/>
      <c r="G28" s="30"/>
      <c r="H28" s="31"/>
      <c r="I28" s="19"/>
      <c r="J28" s="10"/>
    </row>
    <row r="29" ht="15.0" customHeight="1">
      <c r="B29" s="32"/>
      <c r="E29" s="32"/>
      <c r="F29" s="28"/>
      <c r="G29" s="33"/>
      <c r="H29" s="31"/>
      <c r="I29" s="19"/>
      <c r="J29" s="10"/>
    </row>
    <row r="30" ht="15.0" customHeight="1">
      <c r="E30" s="32"/>
      <c r="F30" s="28"/>
      <c r="G30" s="33"/>
      <c r="H30" s="31"/>
      <c r="I30" s="19"/>
      <c r="J30" s="10"/>
    </row>
    <row r="31" ht="15.0" customHeight="1">
      <c r="B31" s="32"/>
      <c r="C31" s="32"/>
      <c r="D31" s="32"/>
      <c r="E31" s="32"/>
      <c r="F31" s="28"/>
      <c r="G31" s="33"/>
      <c r="H31" s="31"/>
      <c r="I31" s="19"/>
      <c r="J31" s="10"/>
    </row>
    <row r="32" ht="15.0" customHeight="1">
      <c r="F32" s="28"/>
      <c r="G32" s="33"/>
      <c r="H32" s="31"/>
      <c r="I32" s="19"/>
      <c r="J32" s="10"/>
    </row>
    <row r="33" ht="18.0" customHeight="1">
      <c r="F33" s="28"/>
      <c r="G33" s="33"/>
      <c r="H33" s="31"/>
      <c r="I33" s="19"/>
      <c r="J33" s="10"/>
    </row>
    <row r="34" ht="18.0" customHeight="1">
      <c r="B34" s="34"/>
      <c r="C34" s="35"/>
      <c r="D34" s="36"/>
      <c r="E34" s="37"/>
      <c r="F34" s="28"/>
      <c r="G34" s="33"/>
      <c r="H34" s="31"/>
      <c r="I34" s="19"/>
      <c r="J34" s="10"/>
    </row>
    <row r="35" ht="18.0" customHeight="1">
      <c r="B35" s="38"/>
      <c r="C35" s="39"/>
      <c r="D35" s="40"/>
      <c r="E35" s="37"/>
      <c r="G35" s="14"/>
      <c r="H35" s="14"/>
      <c r="I35" s="26"/>
      <c r="J35" s="10"/>
    </row>
    <row r="36" ht="12.75" customHeight="1">
      <c r="G36" s="14"/>
      <c r="H36" s="14"/>
      <c r="I36" s="26"/>
      <c r="J36" s="10"/>
    </row>
    <row r="37" ht="12.75" customHeight="1">
      <c r="G37" s="14"/>
      <c r="H37" s="14"/>
      <c r="I37" s="26"/>
      <c r="J37" s="10"/>
    </row>
    <row r="38" ht="12.75" customHeight="1">
      <c r="G38" s="10"/>
      <c r="H38" s="10"/>
      <c r="I38" s="10"/>
      <c r="J38" s="10"/>
    </row>
    <row r="39" ht="12.75" customHeight="1">
      <c r="G39" s="10"/>
      <c r="H39" s="10"/>
      <c r="I39" s="10"/>
      <c r="J39" s="10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2:I2"/>
    <mergeCell ref="H3:I3"/>
    <mergeCell ref="B4:F4"/>
    <mergeCell ref="G4:H4"/>
    <mergeCell ref="A16:G27"/>
    <mergeCell ref="B29:D30"/>
    <mergeCell ref="B34:D35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3" width="12.86"/>
    <col customWidth="1" min="4" max="4" width="8.71"/>
    <col customWidth="1" min="5" max="5" width="4.14"/>
    <col customWidth="1" min="6" max="6" width="52.14"/>
    <col customWidth="1" min="7" max="7" width="15.14"/>
    <col customWidth="1" min="8" max="26" width="8.71"/>
  </cols>
  <sheetData>
    <row r="1" ht="3.75" customHeight="1"/>
    <row r="2" ht="14.25" customHeight="1">
      <c r="B2" s="1" t="s">
        <v>0</v>
      </c>
    </row>
    <row r="3" ht="14.25" customHeight="1">
      <c r="B3" s="2"/>
      <c r="C3" s="2"/>
      <c r="D3" s="2"/>
      <c r="E3" s="2"/>
      <c r="F3" s="3"/>
    </row>
    <row r="4" ht="24.75" customHeight="1">
      <c r="B4" s="41" t="s">
        <v>7</v>
      </c>
      <c r="C4" s="6"/>
      <c r="D4" s="42"/>
      <c r="E4" s="41" t="s">
        <v>8</v>
      </c>
      <c r="F4" s="5"/>
      <c r="G4" s="6"/>
    </row>
    <row r="5" ht="18.0" customHeight="1">
      <c r="B5" s="12" t="s">
        <v>9</v>
      </c>
      <c r="C5" s="43" t="s">
        <v>4</v>
      </c>
      <c r="D5" s="28"/>
      <c r="E5" s="44" t="s">
        <v>9</v>
      </c>
      <c r="F5" s="6"/>
      <c r="G5" s="45" t="s">
        <v>10</v>
      </c>
    </row>
    <row r="6" ht="15.0" customHeight="1">
      <c r="B6" s="46" t="s">
        <v>11</v>
      </c>
      <c r="C6" s="47">
        <v>1000.0</v>
      </c>
      <c r="D6" s="28"/>
      <c r="E6" s="48" t="s">
        <v>12</v>
      </c>
      <c r="F6" s="46" t="s">
        <v>13</v>
      </c>
      <c r="G6" s="49">
        <v>193.0</v>
      </c>
    </row>
    <row r="7" ht="15.0" customHeight="1">
      <c r="B7" s="50" t="s">
        <v>14</v>
      </c>
      <c r="C7" s="49">
        <v>430.0</v>
      </c>
      <c r="D7" s="28"/>
      <c r="E7" s="51"/>
      <c r="F7" s="50"/>
      <c r="G7" s="49"/>
    </row>
    <row r="8" ht="15.0" customHeight="1">
      <c r="B8" s="52" t="s">
        <v>15</v>
      </c>
      <c r="C8" s="47">
        <v>315.0</v>
      </c>
      <c r="D8" s="28"/>
      <c r="E8" s="51"/>
      <c r="F8" s="50"/>
      <c r="G8" s="49"/>
    </row>
    <row r="9" ht="15.0" customHeight="1">
      <c r="B9" s="50"/>
      <c r="C9" s="49"/>
      <c r="D9" s="28"/>
      <c r="E9" s="51"/>
      <c r="F9" s="50"/>
      <c r="G9" s="49"/>
    </row>
    <row r="10" ht="15.0" customHeight="1">
      <c r="B10" s="52"/>
      <c r="C10" s="53"/>
      <c r="D10" s="28"/>
      <c r="E10" s="51"/>
      <c r="F10" s="52"/>
      <c r="G10" s="53"/>
    </row>
    <row r="11" ht="15.0" customHeight="1">
      <c r="B11" s="52"/>
      <c r="C11" s="53"/>
      <c r="D11" s="28"/>
      <c r="E11" s="51"/>
      <c r="F11" s="52"/>
      <c r="G11" s="53"/>
    </row>
    <row r="12" ht="15.0" customHeight="1">
      <c r="B12" s="52"/>
      <c r="C12" s="49"/>
      <c r="D12" s="28"/>
      <c r="E12" s="51"/>
      <c r="F12" s="52"/>
      <c r="G12" s="53"/>
    </row>
    <row r="13" ht="15.0" customHeight="1">
      <c r="B13" s="52"/>
      <c r="C13" s="53"/>
      <c r="D13" s="28"/>
      <c r="E13" s="51"/>
      <c r="F13" s="52"/>
      <c r="G13" s="53"/>
    </row>
    <row r="14" ht="15.0" customHeight="1">
      <c r="B14" s="52"/>
      <c r="C14" s="53"/>
      <c r="D14" s="28"/>
      <c r="E14" s="51"/>
      <c r="F14" s="52"/>
      <c r="G14" s="53"/>
    </row>
    <row r="15" ht="15.0" customHeight="1">
      <c r="B15" s="54" t="s">
        <v>16</v>
      </c>
      <c r="C15" s="55">
        <f>SUM(C6:C14)</f>
        <v>1745</v>
      </c>
      <c r="D15" s="28"/>
      <c r="E15" s="51"/>
      <c r="F15" s="52"/>
      <c r="G15" s="53"/>
    </row>
    <row r="16" ht="15.0" customHeight="1">
      <c r="B16" s="28"/>
      <c r="C16" s="29"/>
      <c r="D16" s="28"/>
      <c r="E16" s="51"/>
      <c r="F16" s="50"/>
      <c r="G16" s="49"/>
    </row>
    <row r="17" ht="15.0" customHeight="1">
      <c r="B17" s="28"/>
      <c r="C17" s="29"/>
      <c r="D17" s="28"/>
      <c r="E17" s="56"/>
      <c r="F17" s="52"/>
      <c r="G17" s="53"/>
    </row>
    <row r="18" ht="15.0" customHeight="1">
      <c r="B18" s="57"/>
      <c r="C18" s="58"/>
      <c r="D18" s="28"/>
      <c r="E18" s="48" t="s">
        <v>17</v>
      </c>
      <c r="F18" s="59"/>
      <c r="G18" s="60"/>
    </row>
    <row r="19" ht="15.0" customHeight="1">
      <c r="B19" s="56"/>
      <c r="C19" s="56"/>
      <c r="D19" s="28"/>
      <c r="E19" s="51"/>
      <c r="F19" s="46"/>
      <c r="G19" s="47"/>
    </row>
    <row r="20" ht="15.0" customHeight="1">
      <c r="B20" s="57"/>
      <c r="C20" s="61"/>
      <c r="D20" s="28"/>
      <c r="E20" s="51"/>
      <c r="F20" s="50"/>
      <c r="G20" s="49"/>
    </row>
    <row r="21" ht="15.0" customHeight="1">
      <c r="B21" s="56"/>
      <c r="C21" s="56"/>
      <c r="D21" s="28"/>
      <c r="E21" s="51"/>
      <c r="F21" s="50"/>
      <c r="G21" s="49"/>
    </row>
    <row r="22" ht="15.0" customHeight="1">
      <c r="B22" s="57"/>
      <c r="C22" s="61"/>
      <c r="D22" s="28"/>
      <c r="E22" s="51"/>
      <c r="F22" s="50"/>
      <c r="G22" s="49"/>
    </row>
    <row r="23" ht="15.0" customHeight="1">
      <c r="B23" s="56"/>
      <c r="C23" s="56"/>
      <c r="D23" s="28"/>
      <c r="E23" s="51"/>
      <c r="F23" s="50"/>
      <c r="G23" s="49"/>
    </row>
    <row r="24" ht="15.0" customHeight="1">
      <c r="B24" s="28"/>
      <c r="C24" s="29"/>
      <c r="D24" s="28"/>
      <c r="E24" s="51"/>
      <c r="F24" s="50"/>
      <c r="G24" s="49"/>
    </row>
    <row r="25" ht="15.0" customHeight="1">
      <c r="B25" s="28"/>
      <c r="C25" s="29"/>
      <c r="D25" s="28"/>
      <c r="E25" s="51"/>
      <c r="F25" s="50"/>
      <c r="G25" s="49"/>
    </row>
    <row r="26" ht="15.0" customHeight="1">
      <c r="B26" s="28"/>
      <c r="C26" s="29"/>
      <c r="D26" s="28"/>
      <c r="E26" s="51"/>
      <c r="F26" s="50"/>
      <c r="G26" s="49"/>
    </row>
    <row r="27" ht="15.0" customHeight="1">
      <c r="B27" s="28"/>
      <c r="C27" s="29"/>
      <c r="D27" s="28"/>
      <c r="E27" s="51"/>
      <c r="F27" s="50"/>
      <c r="G27" s="49"/>
    </row>
    <row r="28" ht="15.0" customHeight="1">
      <c r="B28" s="28"/>
      <c r="C28" s="29"/>
      <c r="D28" s="28"/>
      <c r="E28" s="51"/>
      <c r="F28" s="50"/>
      <c r="G28" s="49"/>
    </row>
    <row r="29" ht="15.0" customHeight="1">
      <c r="B29" s="32"/>
      <c r="D29" s="28"/>
      <c r="E29" s="51"/>
      <c r="F29" s="50"/>
      <c r="G29" s="49"/>
    </row>
    <row r="30" ht="15.0" customHeight="1">
      <c r="D30" s="28"/>
      <c r="E30" s="51"/>
      <c r="F30" s="50"/>
      <c r="G30" s="49"/>
    </row>
    <row r="31" ht="15.0" customHeight="1">
      <c r="B31" s="32"/>
      <c r="C31" s="32"/>
      <c r="D31" s="28"/>
      <c r="E31" s="51"/>
      <c r="F31" s="50"/>
      <c r="G31" s="49"/>
    </row>
    <row r="32" ht="15.0" customHeight="1">
      <c r="D32" s="28"/>
      <c r="E32" s="51"/>
      <c r="F32" s="50"/>
      <c r="G32" s="49"/>
    </row>
    <row r="33" ht="18.0" customHeight="1">
      <c r="D33" s="28"/>
      <c r="E33" s="51"/>
      <c r="F33" s="52"/>
      <c r="G33" s="53"/>
    </row>
    <row r="34" ht="18.0" customHeight="1">
      <c r="B34" s="34"/>
      <c r="C34" s="36"/>
      <c r="D34" s="28"/>
      <c r="E34" s="56"/>
      <c r="F34" s="62"/>
      <c r="G34" s="63"/>
    </row>
    <row r="35" ht="18.0" customHeight="1">
      <c r="B35" s="38"/>
      <c r="C35" s="40"/>
      <c r="E35" s="44" t="s">
        <v>18</v>
      </c>
      <c r="F35" s="6"/>
      <c r="G35" s="64">
        <f>SUM(G6:G17)</f>
        <v>193</v>
      </c>
    </row>
    <row r="36" ht="14.25" customHeight="1">
      <c r="E36" s="44" t="s">
        <v>19</v>
      </c>
      <c r="F36" s="6"/>
      <c r="G36" s="64">
        <f>SUM(G18:G34)</f>
        <v>0</v>
      </c>
    </row>
    <row r="37" ht="14.25" customHeight="1">
      <c r="E37" s="44" t="s">
        <v>20</v>
      </c>
      <c r="F37" s="6"/>
      <c r="G37" s="64">
        <f>G35+G36</f>
        <v>193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E6:E17"/>
    <mergeCell ref="E18:E34"/>
    <mergeCell ref="E35:F35"/>
    <mergeCell ref="E36:F36"/>
    <mergeCell ref="E37:F37"/>
    <mergeCell ref="B20:B21"/>
    <mergeCell ref="C20:C21"/>
    <mergeCell ref="B22:B23"/>
    <mergeCell ref="C22:C23"/>
    <mergeCell ref="B29:C30"/>
    <mergeCell ref="B34:C35"/>
    <mergeCell ref="B2:G2"/>
    <mergeCell ref="F3:G3"/>
    <mergeCell ref="B4:C4"/>
    <mergeCell ref="E4:G4"/>
    <mergeCell ref="E5:F5"/>
    <mergeCell ref="B18:B19"/>
    <mergeCell ref="C18:C19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3" width="12.86"/>
    <col customWidth="1" min="4" max="4" width="8.71"/>
    <col customWidth="1" min="5" max="5" width="4.14"/>
    <col customWidth="1" min="6" max="6" width="52.14"/>
    <col customWidth="1" min="7" max="7" width="15.14"/>
    <col customWidth="1" min="8" max="26" width="8.71"/>
  </cols>
  <sheetData>
    <row r="1" ht="3.75" customHeight="1"/>
    <row r="2" ht="14.25" customHeight="1">
      <c r="B2" s="1" t="s">
        <v>0</v>
      </c>
    </row>
    <row r="3" ht="14.25" customHeight="1">
      <c r="B3" s="2"/>
      <c r="C3" s="2"/>
      <c r="D3" s="2"/>
      <c r="E3" s="2"/>
      <c r="F3" s="3"/>
    </row>
    <row r="4" ht="24.75" customHeight="1">
      <c r="B4" s="41" t="s">
        <v>7</v>
      </c>
      <c r="C4" s="6"/>
      <c r="D4" s="42"/>
      <c r="E4" s="41" t="s">
        <v>8</v>
      </c>
      <c r="F4" s="5"/>
      <c r="G4" s="6"/>
    </row>
    <row r="5" ht="18.0" customHeight="1">
      <c r="B5" s="12" t="s">
        <v>9</v>
      </c>
      <c r="C5" s="43" t="s">
        <v>4</v>
      </c>
      <c r="D5" s="28"/>
      <c r="E5" s="44" t="s">
        <v>9</v>
      </c>
      <c r="F5" s="6"/>
      <c r="G5" s="45" t="s">
        <v>10</v>
      </c>
    </row>
    <row r="6" ht="15.0" customHeight="1">
      <c r="B6" s="46" t="s">
        <v>21</v>
      </c>
      <c r="C6" s="47">
        <v>400.0</v>
      </c>
      <c r="D6" s="28"/>
      <c r="E6" s="48" t="s">
        <v>22</v>
      </c>
      <c r="F6" s="50"/>
      <c r="G6" s="65"/>
    </row>
    <row r="7" ht="15.0" customHeight="1">
      <c r="B7" s="50" t="s">
        <v>15</v>
      </c>
      <c r="C7" s="49">
        <v>585.0</v>
      </c>
      <c r="D7" s="28"/>
      <c r="E7" s="51"/>
      <c r="F7" s="52"/>
      <c r="G7" s="53"/>
    </row>
    <row r="8" ht="15.0" customHeight="1">
      <c r="B8" s="52" t="s">
        <v>23</v>
      </c>
      <c r="C8" s="47">
        <v>0.0</v>
      </c>
      <c r="D8" s="28"/>
      <c r="E8" s="51"/>
      <c r="F8" s="50" t="s">
        <v>24</v>
      </c>
      <c r="G8" s="49">
        <v>45.0</v>
      </c>
    </row>
    <row r="9" ht="15.0" customHeight="1">
      <c r="B9" s="50" t="s">
        <v>25</v>
      </c>
      <c r="C9" s="49">
        <v>340.0</v>
      </c>
      <c r="D9" s="28"/>
      <c r="E9" s="51"/>
      <c r="F9" s="52"/>
      <c r="G9" s="66"/>
    </row>
    <row r="10" ht="15.0" customHeight="1">
      <c r="B10" s="52"/>
      <c r="C10" s="53"/>
      <c r="D10" s="28"/>
      <c r="E10" s="51"/>
      <c r="F10" s="52"/>
      <c r="G10" s="66"/>
    </row>
    <row r="11" ht="15.0" customHeight="1">
      <c r="B11" s="52"/>
      <c r="C11" s="53"/>
      <c r="D11" s="28"/>
      <c r="E11" s="51"/>
      <c r="F11" s="52"/>
      <c r="G11" s="66"/>
    </row>
    <row r="12" ht="15.0" customHeight="1">
      <c r="B12" s="52"/>
      <c r="C12" s="49"/>
      <c r="D12" s="28"/>
      <c r="E12" s="51"/>
      <c r="F12" s="52"/>
      <c r="G12" s="53"/>
      <c r="J12" s="67" t="s">
        <v>26</v>
      </c>
    </row>
    <row r="13" ht="15.0" customHeight="1">
      <c r="B13" s="52"/>
      <c r="C13" s="53"/>
      <c r="D13" s="28"/>
      <c r="E13" s="51"/>
      <c r="F13" s="52"/>
      <c r="G13" s="53"/>
    </row>
    <row r="14" ht="15.0" customHeight="1">
      <c r="B14" s="52"/>
      <c r="C14" s="53"/>
      <c r="D14" s="28"/>
      <c r="E14" s="51"/>
      <c r="F14" s="52"/>
      <c r="G14" s="68"/>
    </row>
    <row r="15" ht="15.0" customHeight="1">
      <c r="B15" s="54" t="s">
        <v>16</v>
      </c>
      <c r="C15" s="55">
        <f>SUM(C6:C14)</f>
        <v>1325</v>
      </c>
      <c r="D15" s="28"/>
      <c r="E15" s="51"/>
      <c r="F15" s="52"/>
      <c r="G15" s="68"/>
    </row>
    <row r="16" ht="15.0" customHeight="1">
      <c r="B16" s="28"/>
      <c r="C16" s="29"/>
      <c r="D16" s="28"/>
      <c r="E16" s="51"/>
      <c r="F16" s="50"/>
      <c r="G16" s="69"/>
    </row>
    <row r="17" ht="15.0" customHeight="1">
      <c r="B17" s="28"/>
      <c r="C17" s="29"/>
      <c r="D17" s="28"/>
      <c r="E17" s="56"/>
      <c r="F17" s="52"/>
      <c r="G17" s="68"/>
    </row>
    <row r="18" ht="15.0" customHeight="1">
      <c r="B18" s="57" t="s">
        <v>27</v>
      </c>
      <c r="C18" s="58">
        <f>C15-G37</f>
        <v>510</v>
      </c>
      <c r="D18" s="28"/>
      <c r="E18" s="48" t="s">
        <v>28</v>
      </c>
      <c r="F18" s="59" t="s">
        <v>29</v>
      </c>
      <c r="G18" s="60">
        <v>300.0</v>
      </c>
    </row>
    <row r="19" ht="15.0" customHeight="1">
      <c r="B19" s="56"/>
      <c r="C19" s="56"/>
      <c r="D19" s="28"/>
      <c r="E19" s="51"/>
      <c r="F19" s="46"/>
      <c r="G19" s="47"/>
    </row>
    <row r="20" ht="15.0" customHeight="1">
      <c r="B20" s="57" t="s">
        <v>30</v>
      </c>
      <c r="C20" s="61">
        <v>0.0</v>
      </c>
      <c r="D20" s="28"/>
      <c r="E20" s="51"/>
      <c r="F20" s="50"/>
      <c r="G20" s="49"/>
    </row>
    <row r="21" ht="15.0" customHeight="1">
      <c r="B21" s="56"/>
      <c r="C21" s="56"/>
      <c r="D21" s="28"/>
      <c r="E21" s="51"/>
      <c r="F21" s="50"/>
      <c r="G21" s="49"/>
    </row>
    <row r="22" ht="15.0" customHeight="1">
      <c r="B22" s="57" t="s">
        <v>31</v>
      </c>
      <c r="C22" s="61">
        <f>G37-C20</f>
        <v>815</v>
      </c>
      <c r="D22" s="28"/>
      <c r="E22" s="51"/>
      <c r="F22" s="50" t="s">
        <v>32</v>
      </c>
      <c r="G22" s="49">
        <v>250.0</v>
      </c>
    </row>
    <row r="23" ht="15.0" customHeight="1">
      <c r="B23" s="56"/>
      <c r="C23" s="56"/>
      <c r="D23" s="28"/>
      <c r="E23" s="51"/>
      <c r="F23" s="50" t="s">
        <v>33</v>
      </c>
      <c r="G23" s="65">
        <v>20.0</v>
      </c>
    </row>
    <row r="24" ht="15.0" customHeight="1">
      <c r="B24" s="28"/>
      <c r="C24" s="29"/>
      <c r="D24" s="28"/>
      <c r="E24" s="51"/>
      <c r="F24" s="50" t="s">
        <v>34</v>
      </c>
      <c r="G24" s="49">
        <v>50.0</v>
      </c>
    </row>
    <row r="25" ht="15.0" customHeight="1">
      <c r="B25" s="28"/>
      <c r="C25" s="29"/>
      <c r="D25" s="28"/>
      <c r="E25" s="51"/>
      <c r="F25" s="50"/>
      <c r="G25" s="65"/>
    </row>
    <row r="26" ht="15.0" customHeight="1">
      <c r="B26" s="28"/>
      <c r="C26" s="29"/>
      <c r="D26" s="28"/>
      <c r="E26" s="51"/>
      <c r="F26" s="50"/>
      <c r="G26" s="65"/>
    </row>
    <row r="27" ht="15.0" customHeight="1">
      <c r="B27" s="28"/>
      <c r="C27" s="29"/>
      <c r="D27" s="28"/>
      <c r="E27" s="51"/>
      <c r="F27" s="50"/>
      <c r="G27" s="65"/>
    </row>
    <row r="28" ht="15.0" customHeight="1">
      <c r="B28" s="28"/>
      <c r="C28" s="29"/>
      <c r="D28" s="28"/>
      <c r="E28" s="51"/>
      <c r="F28" s="50" t="s">
        <v>35</v>
      </c>
      <c r="G28" s="49">
        <v>150.0</v>
      </c>
    </row>
    <row r="29" ht="15.0" customHeight="1">
      <c r="B29" s="32"/>
      <c r="D29" s="28"/>
      <c r="E29" s="51"/>
      <c r="F29" s="50"/>
      <c r="G29" s="49"/>
    </row>
    <row r="30" ht="15.0" customHeight="1">
      <c r="D30" s="28"/>
      <c r="E30" s="51"/>
      <c r="F30" s="50"/>
      <c r="G30" s="49"/>
    </row>
    <row r="31" ht="15.0" customHeight="1">
      <c r="B31" s="32"/>
      <c r="C31" s="32"/>
      <c r="D31" s="28"/>
      <c r="E31" s="51"/>
      <c r="F31" s="50"/>
      <c r="G31" s="49"/>
    </row>
    <row r="32" ht="15.0" customHeight="1">
      <c r="D32" s="28"/>
      <c r="E32" s="51"/>
      <c r="F32" s="50"/>
      <c r="G32" s="49"/>
    </row>
    <row r="33" ht="18.0" customHeight="1">
      <c r="D33" s="28"/>
      <c r="E33" s="51"/>
      <c r="F33" s="52"/>
      <c r="G33" s="53"/>
    </row>
    <row r="34" ht="18.0" customHeight="1">
      <c r="B34" s="34"/>
      <c r="C34" s="36"/>
      <c r="D34" s="28"/>
      <c r="E34" s="56"/>
      <c r="F34" s="62"/>
      <c r="G34" s="63"/>
    </row>
    <row r="35" ht="18.0" customHeight="1">
      <c r="B35" s="38"/>
      <c r="C35" s="40"/>
      <c r="E35" s="44" t="s">
        <v>36</v>
      </c>
      <c r="F35" s="6"/>
      <c r="G35" s="64">
        <f>SUM(G6:G17)</f>
        <v>45</v>
      </c>
    </row>
    <row r="36" ht="14.25" customHeight="1">
      <c r="E36" s="44" t="s">
        <v>37</v>
      </c>
      <c r="F36" s="6"/>
      <c r="G36" s="64">
        <f>SUM(G18:G34)</f>
        <v>770</v>
      </c>
    </row>
    <row r="37" ht="14.25" customHeight="1">
      <c r="E37" s="44" t="s">
        <v>20</v>
      </c>
      <c r="F37" s="6"/>
      <c r="G37" s="64">
        <f>G35+G36</f>
        <v>815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E6:E17"/>
    <mergeCell ref="E18:E34"/>
    <mergeCell ref="E35:F35"/>
    <mergeCell ref="E36:F36"/>
    <mergeCell ref="E37:F37"/>
    <mergeCell ref="B20:B21"/>
    <mergeCell ref="C20:C21"/>
    <mergeCell ref="B22:B23"/>
    <mergeCell ref="C22:C23"/>
    <mergeCell ref="B29:C30"/>
    <mergeCell ref="B34:C35"/>
    <mergeCell ref="B2:G2"/>
    <mergeCell ref="F3:G3"/>
    <mergeCell ref="B4:C4"/>
    <mergeCell ref="E4:G4"/>
    <mergeCell ref="E5:F5"/>
    <mergeCell ref="B18:B19"/>
    <mergeCell ref="C18:C19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3" width="12.86"/>
    <col customWidth="1" min="4" max="4" width="8.71"/>
    <col customWidth="1" min="5" max="5" width="4.14"/>
    <col customWidth="1" min="6" max="6" width="52.14"/>
    <col customWidth="1" min="7" max="7" width="15.14"/>
    <col customWidth="1" min="8" max="26" width="8.71"/>
  </cols>
  <sheetData>
    <row r="1" ht="3.75" customHeight="1"/>
    <row r="2" ht="14.25" customHeight="1">
      <c r="B2" s="1" t="s">
        <v>0</v>
      </c>
    </row>
    <row r="3" ht="14.25" customHeight="1">
      <c r="B3" s="2"/>
      <c r="C3" s="2"/>
      <c r="D3" s="2"/>
      <c r="E3" s="2"/>
      <c r="F3" s="3"/>
    </row>
    <row r="4" ht="24.75" customHeight="1">
      <c r="B4" s="41" t="s">
        <v>7</v>
      </c>
      <c r="C4" s="6"/>
      <c r="D4" s="42"/>
      <c r="E4" s="41" t="s">
        <v>8</v>
      </c>
      <c r="F4" s="5"/>
      <c r="G4" s="6"/>
    </row>
    <row r="5" ht="18.0" customHeight="1">
      <c r="B5" s="12" t="s">
        <v>9</v>
      </c>
      <c r="C5" s="43" t="s">
        <v>4</v>
      </c>
      <c r="D5" s="28"/>
      <c r="E5" s="44" t="s">
        <v>9</v>
      </c>
      <c r="F5" s="6"/>
      <c r="G5" s="45" t="s">
        <v>10</v>
      </c>
    </row>
    <row r="6" ht="15.0" customHeight="1">
      <c r="B6" s="46" t="s">
        <v>38</v>
      </c>
      <c r="C6" s="70">
        <v>320.0</v>
      </c>
      <c r="D6" s="28"/>
      <c r="E6" s="48"/>
      <c r="F6" s="71" t="s">
        <v>39</v>
      </c>
      <c r="G6" s="72">
        <f>40+10</f>
        <v>50</v>
      </c>
    </row>
    <row r="7" ht="15.0" customHeight="1">
      <c r="B7" s="73" t="s">
        <v>40</v>
      </c>
      <c r="C7" s="74">
        <v>1000.0</v>
      </c>
      <c r="D7" s="28"/>
      <c r="E7" s="51"/>
      <c r="F7" s="75" t="s">
        <v>41</v>
      </c>
      <c r="G7" s="76">
        <v>81.0</v>
      </c>
    </row>
    <row r="8" ht="15.0" customHeight="1">
      <c r="B8" s="52" t="s">
        <v>42</v>
      </c>
      <c r="C8" s="70">
        <v>150.0</v>
      </c>
      <c r="D8" s="28"/>
      <c r="E8" s="51"/>
      <c r="F8" s="71" t="s">
        <v>43</v>
      </c>
      <c r="G8" s="74">
        <v>100.0</v>
      </c>
    </row>
    <row r="9" ht="15.0" customHeight="1">
      <c r="B9" s="50" t="s">
        <v>44</v>
      </c>
      <c r="C9" s="72">
        <f>100+126</f>
        <v>226</v>
      </c>
      <c r="D9" s="28"/>
      <c r="E9" s="51"/>
      <c r="F9" s="75" t="s">
        <v>45</v>
      </c>
      <c r="G9" s="76">
        <v>60.0</v>
      </c>
    </row>
    <row r="10" ht="15.0" customHeight="1">
      <c r="B10" s="77"/>
      <c r="C10" s="78"/>
      <c r="D10" s="28"/>
      <c r="E10" s="51"/>
      <c r="F10" s="79" t="s">
        <v>46</v>
      </c>
      <c r="G10" s="80">
        <v>50.0</v>
      </c>
    </row>
    <row r="11" ht="15.0" customHeight="1">
      <c r="B11" s="77" t="s">
        <v>47</v>
      </c>
      <c r="C11" s="81">
        <v>801.0</v>
      </c>
      <c r="D11" s="28"/>
      <c r="E11" s="51"/>
      <c r="F11" s="75" t="s">
        <v>48</v>
      </c>
      <c r="G11" s="76">
        <v>19.99</v>
      </c>
    </row>
    <row r="12" ht="15.0" customHeight="1">
      <c r="B12" s="82" t="s">
        <v>49</v>
      </c>
      <c r="C12" s="83">
        <v>250.0</v>
      </c>
      <c r="D12" s="28"/>
      <c r="E12" s="51"/>
      <c r="F12" s="75" t="s">
        <v>50</v>
      </c>
      <c r="G12" s="76">
        <f>15+2.97+10.5+5+8+14+1.5+6+50+32</f>
        <v>144.97</v>
      </c>
      <c r="J12" s="67" t="s">
        <v>26</v>
      </c>
    </row>
    <row r="13" ht="15.0" customHeight="1">
      <c r="B13" s="77" t="s">
        <v>51</v>
      </c>
      <c r="C13" s="84">
        <f>450+80</f>
        <v>530</v>
      </c>
      <c r="D13" s="28"/>
      <c r="E13" s="51"/>
      <c r="F13" s="75" t="s">
        <v>52</v>
      </c>
      <c r="G13" s="76">
        <v>100.0</v>
      </c>
    </row>
    <row r="14" ht="15.0" customHeight="1">
      <c r="B14" s="77" t="s">
        <v>53</v>
      </c>
      <c r="C14" s="84">
        <v>200.0</v>
      </c>
      <c r="D14" s="28"/>
      <c r="E14" s="51"/>
      <c r="F14" s="75" t="s">
        <v>54</v>
      </c>
      <c r="G14" s="85">
        <v>150.0</v>
      </c>
    </row>
    <row r="15" ht="15.0" customHeight="1">
      <c r="B15" s="54" t="s">
        <v>16</v>
      </c>
      <c r="C15" s="55">
        <f>SUM(C6:C14)</f>
        <v>3477</v>
      </c>
      <c r="D15" s="28"/>
      <c r="E15" s="51"/>
      <c r="F15" s="75" t="s">
        <v>55</v>
      </c>
      <c r="G15" s="86">
        <v>194.0</v>
      </c>
    </row>
    <row r="16" ht="15.0" customHeight="1">
      <c r="B16" s="28"/>
      <c r="C16" s="29"/>
      <c r="D16" s="28"/>
      <c r="E16" s="51"/>
      <c r="F16" s="71" t="s">
        <v>56</v>
      </c>
      <c r="G16" s="87">
        <v>50.0</v>
      </c>
    </row>
    <row r="17" ht="15.0" customHeight="1">
      <c r="B17" s="28"/>
      <c r="C17" s="29"/>
      <c r="D17" s="28"/>
      <c r="E17" s="56"/>
      <c r="F17" s="88" t="s">
        <v>57</v>
      </c>
      <c r="G17" s="85">
        <v>64.0</v>
      </c>
    </row>
    <row r="18" ht="15.0" customHeight="1">
      <c r="B18" s="57" t="s">
        <v>27</v>
      </c>
      <c r="C18" s="58">
        <f>C15-G37</f>
        <v>2023.04</v>
      </c>
      <c r="D18" s="28"/>
      <c r="E18" s="48" t="s">
        <v>28</v>
      </c>
      <c r="F18" s="89"/>
      <c r="G18" s="90"/>
    </row>
    <row r="19" ht="15.0" customHeight="1">
      <c r="B19" s="56"/>
      <c r="C19" s="56"/>
      <c r="D19" s="28"/>
      <c r="E19" s="51"/>
      <c r="F19" s="91"/>
      <c r="G19" s="92"/>
    </row>
    <row r="20" ht="15.0" customHeight="1">
      <c r="B20" s="57" t="s">
        <v>58</v>
      </c>
      <c r="C20" s="93">
        <f>800+701+200+315</f>
        <v>2016</v>
      </c>
      <c r="D20" s="28"/>
      <c r="E20" s="51"/>
      <c r="F20" s="94" t="s">
        <v>29</v>
      </c>
      <c r="G20" s="95">
        <v>120.0</v>
      </c>
    </row>
    <row r="21" ht="15.0" customHeight="1">
      <c r="B21" s="56"/>
      <c r="C21" s="56"/>
      <c r="D21" s="28"/>
      <c r="E21" s="51"/>
      <c r="F21" s="73"/>
      <c r="G21" s="95"/>
    </row>
    <row r="22" ht="15.0" customHeight="1">
      <c r="B22" s="96" t="s">
        <v>59</v>
      </c>
      <c r="C22" s="93">
        <v>750.0</v>
      </c>
      <c r="D22" s="28"/>
      <c r="E22" s="51"/>
      <c r="F22" s="73"/>
      <c r="G22" s="95"/>
    </row>
    <row r="23" ht="15.0" customHeight="1">
      <c r="B23" s="56"/>
      <c r="C23" s="56"/>
      <c r="D23" s="28"/>
      <c r="E23" s="51"/>
      <c r="F23" s="73" t="s">
        <v>60</v>
      </c>
      <c r="G23" s="95">
        <v>270.0</v>
      </c>
    </row>
    <row r="24" ht="15.0" customHeight="1">
      <c r="B24" s="28"/>
      <c r="C24" s="29"/>
      <c r="D24" s="28"/>
      <c r="E24" s="51"/>
      <c r="F24" s="50"/>
      <c r="G24" s="97"/>
    </row>
    <row r="25" ht="15.0" customHeight="1">
      <c r="B25" s="28"/>
      <c r="C25" s="29"/>
      <c r="D25" s="28"/>
      <c r="E25" s="51"/>
      <c r="F25" s="50"/>
      <c r="G25" s="97"/>
    </row>
    <row r="26" ht="15.0" customHeight="1">
      <c r="B26" s="28"/>
      <c r="C26" s="29"/>
      <c r="D26" s="28"/>
      <c r="E26" s="51"/>
      <c r="F26" s="50"/>
      <c r="G26" s="97"/>
    </row>
    <row r="27" ht="15.0" customHeight="1">
      <c r="B27" s="28"/>
      <c r="C27" s="29"/>
      <c r="D27" s="28"/>
      <c r="E27" s="51"/>
      <c r="F27" s="50"/>
      <c r="G27" s="97"/>
    </row>
    <row r="28" ht="15.0" customHeight="1">
      <c r="B28" s="28"/>
      <c r="C28" s="29"/>
      <c r="D28" s="28"/>
      <c r="E28" s="51"/>
      <c r="F28" s="50"/>
      <c r="G28" s="97"/>
    </row>
    <row r="29" ht="15.0" customHeight="1">
      <c r="B29" s="32"/>
      <c r="D29" s="28"/>
      <c r="E29" s="51"/>
      <c r="F29" s="50"/>
      <c r="G29" s="97"/>
    </row>
    <row r="30" ht="15.0" customHeight="1">
      <c r="D30" s="28"/>
      <c r="E30" s="51"/>
      <c r="F30" s="50"/>
      <c r="G30" s="97"/>
    </row>
    <row r="31" ht="15.0" customHeight="1">
      <c r="B31" s="32"/>
      <c r="C31" s="32"/>
      <c r="D31" s="28"/>
      <c r="E31" s="51"/>
      <c r="F31" s="50"/>
      <c r="G31" s="97"/>
    </row>
    <row r="32" ht="15.0" customHeight="1">
      <c r="D32" s="28"/>
      <c r="E32" s="51"/>
      <c r="F32" s="50"/>
      <c r="G32" s="97"/>
    </row>
    <row r="33" ht="18.0" customHeight="1">
      <c r="D33" s="28"/>
      <c r="E33" s="51"/>
      <c r="F33" s="52"/>
      <c r="G33" s="53"/>
    </row>
    <row r="34" ht="18.0" customHeight="1">
      <c r="B34" s="34"/>
      <c r="C34" s="36"/>
      <c r="D34" s="28"/>
      <c r="E34" s="56"/>
      <c r="F34" s="62"/>
      <c r="G34" s="63"/>
    </row>
    <row r="35" ht="18.0" customHeight="1">
      <c r="B35" s="38"/>
      <c r="C35" s="40"/>
      <c r="E35" s="44" t="s">
        <v>36</v>
      </c>
      <c r="F35" s="6"/>
      <c r="G35" s="64">
        <f>SUM(G6:G17)</f>
        <v>1063.96</v>
      </c>
    </row>
    <row r="36" ht="14.25" customHeight="1">
      <c r="E36" s="44" t="s">
        <v>37</v>
      </c>
      <c r="F36" s="6"/>
      <c r="G36" s="64">
        <f>SUM(G18:G34)</f>
        <v>390</v>
      </c>
    </row>
    <row r="37" ht="14.25" customHeight="1">
      <c r="E37" s="44" t="s">
        <v>20</v>
      </c>
      <c r="F37" s="6"/>
      <c r="G37" s="64">
        <f>G35+G36</f>
        <v>1453.96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E6:E17"/>
    <mergeCell ref="E18:E34"/>
    <mergeCell ref="E35:F35"/>
    <mergeCell ref="E36:F36"/>
    <mergeCell ref="E37:F37"/>
    <mergeCell ref="B20:B21"/>
    <mergeCell ref="C20:C21"/>
    <mergeCell ref="B22:B23"/>
    <mergeCell ref="C22:C23"/>
    <mergeCell ref="B29:C30"/>
    <mergeCell ref="B34:C35"/>
    <mergeCell ref="B2:G2"/>
    <mergeCell ref="F3:G3"/>
    <mergeCell ref="B4:C4"/>
    <mergeCell ref="E4:G4"/>
    <mergeCell ref="E5:F5"/>
    <mergeCell ref="B18:B19"/>
    <mergeCell ref="C18:C19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3" width="20.29"/>
    <col customWidth="1" min="4" max="4" width="1.43"/>
    <col customWidth="1" min="5" max="5" width="52.14"/>
    <col customWidth="1" min="6" max="6" width="15.14"/>
    <col customWidth="1" min="7" max="7" width="13.0"/>
    <col customWidth="1" min="8" max="24" width="8.71"/>
  </cols>
  <sheetData>
    <row r="1" ht="3.75" customHeight="1"/>
    <row r="2" ht="24.75" customHeight="1">
      <c r="B2" s="41" t="s">
        <v>7</v>
      </c>
      <c r="C2" s="6"/>
      <c r="D2" s="42"/>
      <c r="E2" s="4" t="s">
        <v>61</v>
      </c>
      <c r="F2" s="5"/>
      <c r="G2" s="6"/>
    </row>
    <row r="3" ht="18.0" customHeight="1">
      <c r="B3" s="12" t="s">
        <v>9</v>
      </c>
      <c r="C3" s="43" t="s">
        <v>4</v>
      </c>
      <c r="D3" s="28"/>
      <c r="E3" s="12"/>
      <c r="F3" s="98" t="s">
        <v>4</v>
      </c>
      <c r="G3" s="98" t="s">
        <v>62</v>
      </c>
    </row>
    <row r="4" ht="15.0" customHeight="1">
      <c r="B4" s="99" t="s">
        <v>63</v>
      </c>
      <c r="C4" s="100">
        <v>320.0</v>
      </c>
      <c r="D4" s="28"/>
      <c r="E4" s="73" t="s">
        <v>64</v>
      </c>
      <c r="F4" s="74">
        <v>170.0</v>
      </c>
      <c r="G4" s="74">
        <v>170.0</v>
      </c>
    </row>
    <row r="5" ht="15.0" customHeight="1">
      <c r="B5" s="77" t="s">
        <v>65</v>
      </c>
      <c r="C5" s="100">
        <v>50.0</v>
      </c>
      <c r="D5" s="28"/>
      <c r="E5" s="101"/>
      <c r="F5" s="102"/>
      <c r="G5" s="102"/>
    </row>
    <row r="6" ht="15.0" customHeight="1">
      <c r="B6" s="77"/>
      <c r="C6" s="78"/>
      <c r="D6" s="28"/>
      <c r="E6" s="73" t="s">
        <v>55</v>
      </c>
      <c r="F6" s="74">
        <f>212.55+351.02</f>
        <v>563.57</v>
      </c>
      <c r="G6" s="74">
        <v>563.57</v>
      </c>
    </row>
    <row r="7" ht="15.0" customHeight="1">
      <c r="B7" s="103" t="s">
        <v>66</v>
      </c>
      <c r="C7" s="104">
        <v>1140.0</v>
      </c>
      <c r="D7" s="28"/>
      <c r="E7" s="105" t="s">
        <v>67</v>
      </c>
      <c r="F7" s="106">
        <v>80.0</v>
      </c>
      <c r="G7" s="106">
        <v>80.0</v>
      </c>
    </row>
    <row r="8" ht="15.0" customHeight="1">
      <c r="B8" s="77" t="s">
        <v>68</v>
      </c>
      <c r="C8" s="106">
        <v>150.0</v>
      </c>
      <c r="D8" s="28"/>
      <c r="E8" s="105" t="s">
        <v>45</v>
      </c>
      <c r="F8" s="106">
        <v>135.0</v>
      </c>
      <c r="G8" s="106">
        <v>135.0</v>
      </c>
    </row>
    <row r="9" ht="15.0" customHeight="1">
      <c r="B9" s="77" t="s">
        <v>69</v>
      </c>
      <c r="C9" s="84">
        <v>70.0</v>
      </c>
      <c r="D9" s="28"/>
      <c r="E9" s="107" t="s">
        <v>70</v>
      </c>
      <c r="F9" s="104">
        <v>28.0</v>
      </c>
      <c r="G9" s="104">
        <v>28.0</v>
      </c>
    </row>
    <row r="10" ht="15.0" customHeight="1">
      <c r="B10" s="77" t="s">
        <v>71</v>
      </c>
      <c r="C10" s="108">
        <v>68.4</v>
      </c>
      <c r="D10" s="28"/>
      <c r="E10" s="107"/>
      <c r="F10" s="109"/>
      <c r="G10" s="109"/>
    </row>
    <row r="11" ht="15.0" customHeight="1">
      <c r="B11" s="52"/>
      <c r="C11" s="53"/>
      <c r="D11" s="28"/>
      <c r="E11" s="105" t="s">
        <v>72</v>
      </c>
      <c r="F11" s="85">
        <v>13.0</v>
      </c>
      <c r="G11" s="85">
        <v>13.0</v>
      </c>
    </row>
    <row r="12" ht="15.0" customHeight="1">
      <c r="B12" s="52"/>
      <c r="C12" s="53"/>
      <c r="D12" s="28"/>
      <c r="E12" s="73" t="s">
        <v>73</v>
      </c>
      <c r="F12" s="110">
        <v>50.0</v>
      </c>
      <c r="G12" s="110">
        <v>0.0</v>
      </c>
    </row>
    <row r="13" ht="15.0" customHeight="1">
      <c r="B13" s="54" t="s">
        <v>16</v>
      </c>
      <c r="C13" s="55">
        <f>SUM(C4:C12)</f>
        <v>1798.4</v>
      </c>
      <c r="D13" s="28"/>
      <c r="E13" s="105" t="s">
        <v>74</v>
      </c>
      <c r="F13" s="111">
        <v>40.0</v>
      </c>
      <c r="G13" s="111">
        <v>0.0</v>
      </c>
    </row>
    <row r="14" ht="15.0" customHeight="1">
      <c r="B14" s="112"/>
      <c r="C14" s="113"/>
      <c r="D14" s="28"/>
      <c r="E14" s="103" t="s">
        <v>75</v>
      </c>
      <c r="F14" s="114">
        <f>35*2</f>
        <v>70</v>
      </c>
      <c r="G14" s="114">
        <v>0.0</v>
      </c>
    </row>
    <row r="15" ht="15.0" customHeight="1">
      <c r="B15" s="28"/>
      <c r="C15" s="29"/>
      <c r="D15" s="28"/>
      <c r="E15" s="77" t="s">
        <v>76</v>
      </c>
      <c r="F15" s="85">
        <v>40.0</v>
      </c>
      <c r="G15" s="85">
        <v>40.0</v>
      </c>
    </row>
    <row r="16" ht="15.0" customHeight="1">
      <c r="B16" s="115" t="s">
        <v>77</v>
      </c>
      <c r="C16" s="116">
        <f>SUM(C4:C12)</f>
        <v>1798.4</v>
      </c>
      <c r="D16" s="28"/>
      <c r="E16" s="107" t="s">
        <v>78</v>
      </c>
      <c r="F16" s="117">
        <v>314.25</v>
      </c>
      <c r="G16" s="117">
        <v>0.0</v>
      </c>
    </row>
    <row r="17" ht="15.0" customHeight="1">
      <c r="B17" s="56"/>
      <c r="C17" s="56"/>
      <c r="D17" s="28"/>
      <c r="E17" s="107" t="s">
        <v>79</v>
      </c>
      <c r="F17" s="104">
        <v>10.0</v>
      </c>
      <c r="G17" s="104">
        <v>10.0</v>
      </c>
    </row>
    <row r="18" ht="15.0" customHeight="1">
      <c r="B18" s="118" t="s">
        <v>80</v>
      </c>
      <c r="C18" s="119">
        <f>C16-2000</f>
        <v>-201.6</v>
      </c>
      <c r="D18" s="28"/>
      <c r="E18" s="73" t="s">
        <v>65</v>
      </c>
      <c r="F18" s="74">
        <v>75.0</v>
      </c>
      <c r="G18" s="74">
        <v>75.0</v>
      </c>
    </row>
    <row r="19" ht="15.0" customHeight="1">
      <c r="B19" s="56"/>
      <c r="C19" s="56"/>
      <c r="D19" s="28"/>
      <c r="E19" s="73" t="s">
        <v>81</v>
      </c>
      <c r="F19" s="74">
        <v>11.0</v>
      </c>
      <c r="G19" s="74">
        <v>11.0</v>
      </c>
    </row>
    <row r="20" ht="15.0" customHeight="1">
      <c r="B20" s="115" t="s">
        <v>82</v>
      </c>
      <c r="C20" s="120">
        <v>100.0</v>
      </c>
      <c r="D20" s="28"/>
      <c r="E20" s="73" t="s">
        <v>83</v>
      </c>
      <c r="F20" s="74">
        <v>4.08</v>
      </c>
      <c r="G20" s="74">
        <v>4.08</v>
      </c>
    </row>
    <row r="21" ht="15.0" customHeight="1">
      <c r="B21" s="56"/>
      <c r="C21" s="56"/>
      <c r="D21" s="28"/>
      <c r="E21" s="73" t="s">
        <v>84</v>
      </c>
      <c r="F21" s="121">
        <v>22.0</v>
      </c>
      <c r="G21" s="121">
        <v>0.0</v>
      </c>
    </row>
    <row r="22" ht="15.0" customHeight="1">
      <c r="B22" s="118" t="s">
        <v>85</v>
      </c>
      <c r="C22" s="119">
        <f>18+7+27+16+27+11+18+20+7+18</f>
        <v>169</v>
      </c>
      <c r="D22" s="28"/>
      <c r="E22" s="73"/>
      <c r="F22" s="121">
        <f>SUM(F4:F21) - G22
</f>
        <v>496.25</v>
      </c>
      <c r="G22" s="121">
        <f>SUM(G4:G21)</f>
        <v>1129.65</v>
      </c>
    </row>
    <row r="23" ht="15.0" customHeight="1">
      <c r="B23" s="56"/>
      <c r="C23" s="56"/>
      <c r="D23" s="28"/>
      <c r="E23" s="122"/>
      <c r="F23" s="123" t="s">
        <v>86</v>
      </c>
      <c r="G23" s="123" t="s">
        <v>87</v>
      </c>
    </row>
    <row r="24" ht="15.0" customHeight="1">
      <c r="B24" s="118" t="s">
        <v>88</v>
      </c>
      <c r="C24" s="119">
        <f>24.7+15+19+30+10.25+12.74+25+5+2+5+7.08</f>
        <v>155.77</v>
      </c>
      <c r="D24" s="28"/>
      <c r="E24" s="124"/>
      <c r="F24" s="29"/>
      <c r="G24" s="29"/>
    </row>
    <row r="25" ht="15.0" customHeight="1">
      <c r="B25" s="56"/>
      <c r="C25" s="56"/>
      <c r="D25" s="28"/>
      <c r="E25" s="124"/>
      <c r="F25" s="29"/>
      <c r="G25" s="29"/>
    </row>
    <row r="26" ht="15.0" customHeight="1">
      <c r="B26" s="28"/>
      <c r="C26" s="29"/>
      <c r="D26" s="28"/>
      <c r="E26" s="124"/>
      <c r="F26" s="29"/>
      <c r="G26" s="29"/>
    </row>
    <row r="27" ht="15.0" customHeight="1">
      <c r="B27" s="32"/>
      <c r="D27" s="28"/>
      <c r="E27" s="124"/>
      <c r="F27" s="29"/>
      <c r="G27" s="29"/>
    </row>
    <row r="28" ht="15.0" customHeight="1">
      <c r="D28" s="28"/>
      <c r="E28" s="124"/>
      <c r="F28" s="29"/>
      <c r="G28" s="29"/>
    </row>
    <row r="29" ht="15.0" customHeight="1">
      <c r="B29" s="32"/>
      <c r="C29" s="32"/>
      <c r="D29" s="28"/>
      <c r="E29" s="124"/>
      <c r="F29" s="29"/>
      <c r="G29" s="29"/>
    </row>
    <row r="30" ht="15.0" customHeight="1">
      <c r="D30" s="28"/>
      <c r="E30" s="124"/>
      <c r="F30" s="29"/>
      <c r="G30" s="29"/>
    </row>
    <row r="31" ht="18.0" customHeight="1">
      <c r="D31" s="28"/>
      <c r="E31" s="124"/>
      <c r="F31" s="29"/>
      <c r="G31" s="29"/>
    </row>
    <row r="32" ht="18.0" customHeight="1">
      <c r="B32" s="32"/>
      <c r="D32" s="28"/>
      <c r="E32" s="124"/>
      <c r="F32" s="29"/>
      <c r="G32" s="29"/>
    </row>
    <row r="33" ht="18.0" customHeight="1">
      <c r="E33" s="125"/>
      <c r="F33" s="126"/>
      <c r="G33" s="126"/>
    </row>
    <row r="34" ht="14.25" customHeight="1">
      <c r="E34" s="127"/>
      <c r="F34" s="128"/>
      <c r="G34" s="128"/>
    </row>
    <row r="35" ht="14.25" customHeight="1">
      <c r="E35" s="129"/>
      <c r="F35" s="130"/>
      <c r="G35" s="13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4">
    <mergeCell ref="B20:B21"/>
    <mergeCell ref="B22:B23"/>
    <mergeCell ref="C22:C23"/>
    <mergeCell ref="B24:B25"/>
    <mergeCell ref="C24:C25"/>
    <mergeCell ref="B27:C28"/>
    <mergeCell ref="B32:C33"/>
    <mergeCell ref="B2:C2"/>
    <mergeCell ref="E2:G2"/>
    <mergeCell ref="B16:B17"/>
    <mergeCell ref="C16:C17"/>
    <mergeCell ref="B18:B19"/>
    <mergeCell ref="C18:C19"/>
    <mergeCell ref="C20:C21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3" width="20.29"/>
    <col customWidth="1" min="4" max="4" width="1.43"/>
    <col customWidth="1" min="5" max="5" width="52.14"/>
    <col customWidth="1" min="6" max="6" width="15.14"/>
    <col customWidth="1" min="7" max="7" width="13.0"/>
    <col customWidth="1" min="8" max="24" width="8.71"/>
  </cols>
  <sheetData>
    <row r="1" ht="3.75" customHeight="1"/>
    <row r="2" ht="24.75" customHeight="1">
      <c r="B2" s="41" t="s">
        <v>7</v>
      </c>
      <c r="C2" s="6"/>
      <c r="D2" s="42"/>
      <c r="E2" s="4" t="s">
        <v>61</v>
      </c>
      <c r="F2" s="5"/>
      <c r="G2" s="6"/>
    </row>
    <row r="3" ht="18.0" customHeight="1">
      <c r="B3" s="12" t="s">
        <v>9</v>
      </c>
      <c r="C3" s="43" t="s">
        <v>4</v>
      </c>
      <c r="D3" s="28"/>
      <c r="E3" s="12"/>
      <c r="F3" s="98" t="s">
        <v>4</v>
      </c>
      <c r="G3" s="98" t="s">
        <v>62</v>
      </c>
    </row>
    <row r="4" ht="15.0" customHeight="1">
      <c r="B4" s="99"/>
      <c r="C4" s="92"/>
      <c r="D4" s="28"/>
      <c r="E4" s="73" t="s">
        <v>64</v>
      </c>
      <c r="F4" s="131">
        <v>170.0</v>
      </c>
      <c r="G4" s="131">
        <v>0.0</v>
      </c>
    </row>
    <row r="5" ht="15.0" customHeight="1">
      <c r="B5" s="77" t="s">
        <v>65</v>
      </c>
      <c r="C5" s="100">
        <v>50.0</v>
      </c>
      <c r="D5" s="28"/>
      <c r="E5" s="73" t="s">
        <v>65</v>
      </c>
      <c r="F5" s="132">
        <v>75.0</v>
      </c>
      <c r="G5" s="132">
        <v>75.0</v>
      </c>
    </row>
    <row r="6" ht="15.0" customHeight="1">
      <c r="B6" s="82" t="s">
        <v>89</v>
      </c>
      <c r="C6" s="133">
        <f>1800-600</f>
        <v>1200</v>
      </c>
      <c r="D6" s="28"/>
      <c r="E6" s="73" t="s">
        <v>90</v>
      </c>
      <c r="F6" s="131">
        <v>575.0</v>
      </c>
      <c r="G6" s="131">
        <v>0.0</v>
      </c>
    </row>
    <row r="7" ht="15.0" customHeight="1">
      <c r="B7" s="103" t="s">
        <v>91</v>
      </c>
      <c r="C7" s="109">
        <f>400-150</f>
        <v>250</v>
      </c>
      <c r="D7" s="28"/>
      <c r="E7" s="105" t="s">
        <v>67</v>
      </c>
      <c r="F7" s="106">
        <v>80.0</v>
      </c>
      <c r="G7" s="106">
        <v>81.67</v>
      </c>
    </row>
    <row r="8" ht="15.0" customHeight="1">
      <c r="B8" s="77" t="s">
        <v>92</v>
      </c>
      <c r="C8" s="106">
        <v>80.0</v>
      </c>
      <c r="D8" s="28"/>
      <c r="E8" s="105" t="s">
        <v>45</v>
      </c>
      <c r="F8" s="134">
        <v>75.0</v>
      </c>
      <c r="G8" s="134">
        <v>0.0</v>
      </c>
    </row>
    <row r="9" ht="15.0" customHeight="1">
      <c r="B9" s="77" t="s">
        <v>93</v>
      </c>
      <c r="C9" s="84">
        <v>135.0</v>
      </c>
      <c r="D9" s="28"/>
      <c r="E9" s="105"/>
      <c r="F9" s="135"/>
      <c r="G9" s="135"/>
    </row>
    <row r="10" ht="15.0" customHeight="1">
      <c r="B10" s="77" t="s">
        <v>94</v>
      </c>
      <c r="C10" s="136">
        <v>100.0</v>
      </c>
      <c r="D10" s="28"/>
      <c r="E10" s="107"/>
      <c r="F10" s="137"/>
      <c r="G10" s="137"/>
    </row>
    <row r="11" ht="15.0" customHeight="1">
      <c r="B11" s="52"/>
      <c r="C11" s="53"/>
      <c r="D11" s="28"/>
      <c r="E11" s="105"/>
      <c r="F11" s="135"/>
      <c r="G11" s="135"/>
      <c r="H11" s="94"/>
    </row>
    <row r="12" ht="15.0" customHeight="1">
      <c r="B12" s="52"/>
      <c r="C12" s="53"/>
      <c r="D12" s="28"/>
      <c r="E12" s="73" t="s">
        <v>95</v>
      </c>
      <c r="F12" s="74">
        <v>284.0</v>
      </c>
      <c r="G12" s="74">
        <v>285.0</v>
      </c>
    </row>
    <row r="13" ht="15.0" customHeight="1">
      <c r="B13" s="54" t="s">
        <v>16</v>
      </c>
      <c r="C13" s="55">
        <f>SUM(C4:C12)</f>
        <v>1815</v>
      </c>
      <c r="D13" s="28"/>
      <c r="E13" s="105" t="s">
        <v>96</v>
      </c>
      <c r="F13" s="138">
        <v>120.0</v>
      </c>
      <c r="G13" s="138">
        <v>120.0</v>
      </c>
    </row>
    <row r="14" ht="15.0" customHeight="1">
      <c r="B14" s="112"/>
      <c r="C14" s="113"/>
      <c r="D14" s="28"/>
      <c r="E14" s="103" t="s">
        <v>97</v>
      </c>
      <c r="F14" s="139">
        <v>50.0</v>
      </c>
      <c r="G14" s="139">
        <v>0.0</v>
      </c>
    </row>
    <row r="15" ht="15.0" customHeight="1">
      <c r="B15" s="28"/>
      <c r="C15" s="29"/>
      <c r="D15" s="28"/>
      <c r="E15" s="77" t="s">
        <v>98</v>
      </c>
      <c r="F15" s="85">
        <v>40.0</v>
      </c>
      <c r="G15" s="85">
        <v>40.0</v>
      </c>
    </row>
    <row r="16" ht="15.0" customHeight="1">
      <c r="B16" s="115" t="s">
        <v>77</v>
      </c>
      <c r="C16" s="116">
        <f>SUM(C4:C12)</f>
        <v>1815</v>
      </c>
      <c r="D16" s="28"/>
      <c r="E16" s="107"/>
      <c r="F16" s="109"/>
      <c r="G16" s="109"/>
    </row>
    <row r="17" ht="15.0" customHeight="1">
      <c r="B17" s="56"/>
      <c r="C17" s="56"/>
      <c r="D17" s="28"/>
      <c r="E17" s="107"/>
      <c r="F17" s="109"/>
      <c r="G17" s="109"/>
    </row>
    <row r="18" ht="15.0" customHeight="1">
      <c r="B18" s="118" t="s">
        <v>80</v>
      </c>
      <c r="C18" s="119">
        <f>C16-2000</f>
        <v>-185</v>
      </c>
      <c r="D18" s="28"/>
      <c r="E18" s="73"/>
      <c r="F18" s="121"/>
      <c r="G18" s="121"/>
    </row>
    <row r="19" ht="15.0" customHeight="1">
      <c r="B19" s="56"/>
      <c r="C19" s="56"/>
      <c r="D19" s="28"/>
      <c r="E19" s="73"/>
      <c r="F19" s="121"/>
      <c r="G19" s="121"/>
    </row>
    <row r="20" ht="15.0" customHeight="1">
      <c r="B20" s="115" t="s">
        <v>82</v>
      </c>
      <c r="C20" s="120">
        <v>100.0</v>
      </c>
      <c r="D20" s="28"/>
      <c r="E20" s="73"/>
      <c r="F20" s="121"/>
      <c r="G20" s="121"/>
    </row>
    <row r="21" ht="15.0" customHeight="1">
      <c r="B21" s="56"/>
      <c r="C21" s="56"/>
      <c r="D21" s="28"/>
      <c r="E21" s="73"/>
      <c r="F21" s="121"/>
      <c r="G21" s="121"/>
    </row>
    <row r="22" ht="15.0" customHeight="1">
      <c r="B22" s="118" t="s">
        <v>85</v>
      </c>
      <c r="C22" s="119"/>
      <c r="D22" s="28"/>
      <c r="E22" s="73"/>
      <c r="F22" s="121">
        <f>SUM(F4:F21) - G22
</f>
        <v>867.33</v>
      </c>
      <c r="G22" s="121">
        <f>SUM(G4:G21)</f>
        <v>601.67</v>
      </c>
    </row>
    <row r="23" ht="15.0" customHeight="1">
      <c r="B23" s="56"/>
      <c r="C23" s="56"/>
      <c r="D23" s="28"/>
      <c r="E23" s="122"/>
      <c r="F23" s="123" t="s">
        <v>86</v>
      </c>
      <c r="G23" s="123" t="s">
        <v>87</v>
      </c>
    </row>
    <row r="24" ht="15.0" customHeight="1">
      <c r="B24" s="118" t="s">
        <v>88</v>
      </c>
      <c r="C24" s="119">
        <f>15+10</f>
        <v>25</v>
      </c>
      <c r="D24" s="28"/>
      <c r="E24" s="124"/>
      <c r="F24" s="29"/>
      <c r="G24" s="29"/>
    </row>
    <row r="25" ht="15.0" customHeight="1">
      <c r="B25" s="56"/>
      <c r="C25" s="56"/>
      <c r="D25" s="28"/>
      <c r="E25" s="124"/>
      <c r="F25" s="29"/>
      <c r="G25" s="29"/>
    </row>
    <row r="26" ht="15.0" customHeight="1">
      <c r="B26" s="28"/>
      <c r="C26" s="29"/>
      <c r="D26" s="28"/>
      <c r="E26" s="124"/>
      <c r="F26" s="29"/>
      <c r="G26" s="29"/>
    </row>
    <row r="27" ht="15.0" customHeight="1">
      <c r="B27" s="32"/>
      <c r="D27" s="28"/>
      <c r="E27" s="124"/>
      <c r="F27" s="29"/>
      <c r="G27" s="29"/>
    </row>
    <row r="28" ht="15.0" customHeight="1">
      <c r="D28" s="28"/>
      <c r="E28" s="124"/>
      <c r="F28" s="29"/>
      <c r="G28" s="29"/>
    </row>
    <row r="29" ht="15.0" customHeight="1">
      <c r="B29" s="32"/>
      <c r="C29" s="32"/>
      <c r="D29" s="28"/>
      <c r="E29" s="124"/>
      <c r="F29" s="29"/>
      <c r="G29" s="29"/>
    </row>
    <row r="30" ht="15.0" customHeight="1">
      <c r="D30" s="28"/>
      <c r="E30" s="124"/>
      <c r="F30" s="29"/>
      <c r="G30" s="29"/>
    </row>
    <row r="31" ht="18.0" customHeight="1">
      <c r="D31" s="28"/>
      <c r="E31" s="124"/>
      <c r="F31" s="29"/>
      <c r="G31" s="29"/>
    </row>
    <row r="32" ht="18.0" customHeight="1">
      <c r="B32" s="32"/>
      <c r="D32" s="28"/>
      <c r="E32" s="124"/>
      <c r="F32" s="29"/>
      <c r="G32" s="29"/>
    </row>
    <row r="33" ht="18.0" customHeight="1">
      <c r="E33" s="125"/>
      <c r="F33" s="126"/>
      <c r="G33" s="126"/>
    </row>
    <row r="34" ht="14.25" customHeight="1">
      <c r="E34" s="127"/>
      <c r="F34" s="128"/>
      <c r="G34" s="128"/>
    </row>
    <row r="35" ht="14.25" customHeight="1">
      <c r="E35" s="129"/>
      <c r="F35" s="130"/>
      <c r="G35" s="13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4">
    <mergeCell ref="B20:B21"/>
    <mergeCell ref="B22:B23"/>
    <mergeCell ref="C22:C23"/>
    <mergeCell ref="B24:B25"/>
    <mergeCell ref="C24:C25"/>
    <mergeCell ref="B27:C28"/>
    <mergeCell ref="B32:C33"/>
    <mergeCell ref="B2:C2"/>
    <mergeCell ref="E2:G2"/>
    <mergeCell ref="B16:B17"/>
    <mergeCell ref="C16:C17"/>
    <mergeCell ref="B18:B19"/>
    <mergeCell ref="C18:C19"/>
    <mergeCell ref="C20:C21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3" width="20.29"/>
    <col customWidth="1" min="4" max="4" width="1.43"/>
    <col customWidth="1" min="5" max="5" width="52.14"/>
    <col customWidth="1" min="6" max="6" width="15.14"/>
    <col customWidth="1" min="7" max="7" width="13.0"/>
    <col customWidth="1" min="8" max="8" width="15.0"/>
    <col customWidth="1" min="9" max="9" width="10.0"/>
    <col customWidth="1" min="10" max="24" width="8.71"/>
  </cols>
  <sheetData>
    <row r="1" ht="3.75" customHeight="1"/>
    <row r="2" ht="24.75" customHeight="1">
      <c r="B2" s="41" t="s">
        <v>7</v>
      </c>
      <c r="C2" s="6"/>
      <c r="D2" s="42"/>
      <c r="E2" s="4" t="s">
        <v>61</v>
      </c>
      <c r="F2" s="5"/>
      <c r="G2" s="6"/>
      <c r="H2" s="4" t="s">
        <v>99</v>
      </c>
      <c r="I2" s="5"/>
      <c r="J2" s="6"/>
    </row>
    <row r="3" ht="18.0" customHeight="1">
      <c r="B3" s="12" t="s">
        <v>9</v>
      </c>
      <c r="C3" s="43" t="s">
        <v>4</v>
      </c>
      <c r="D3" s="28"/>
      <c r="E3" s="12"/>
      <c r="F3" s="98" t="s">
        <v>4</v>
      </c>
      <c r="G3" s="98" t="s">
        <v>62</v>
      </c>
      <c r="H3" s="98" t="s">
        <v>100</v>
      </c>
      <c r="I3" s="98" t="s">
        <v>101</v>
      </c>
      <c r="J3" s="98" t="s">
        <v>62</v>
      </c>
    </row>
    <row r="4" ht="15.0" customHeight="1">
      <c r="B4" s="99"/>
      <c r="C4" s="140"/>
      <c r="D4" s="28"/>
      <c r="E4" s="73" t="s">
        <v>64</v>
      </c>
      <c r="F4" s="132">
        <v>174.0</v>
      </c>
      <c r="G4" s="132">
        <v>174.0</v>
      </c>
      <c r="H4" s="141" t="s">
        <v>102</v>
      </c>
      <c r="I4" s="94">
        <v>30.0</v>
      </c>
      <c r="J4" s="94">
        <v>0.0</v>
      </c>
    </row>
    <row r="5" ht="15.0" customHeight="1">
      <c r="B5" s="77" t="s">
        <v>65</v>
      </c>
      <c r="C5" s="100">
        <v>50.0</v>
      </c>
      <c r="D5" s="28"/>
      <c r="E5" s="73" t="s">
        <v>65</v>
      </c>
      <c r="F5" s="132">
        <v>150.0</v>
      </c>
      <c r="G5" s="132">
        <v>150.0</v>
      </c>
      <c r="H5" s="141"/>
    </row>
    <row r="6" ht="15.0" customHeight="1">
      <c r="B6" s="103" t="s">
        <v>103</v>
      </c>
      <c r="C6" s="83">
        <v>135.0</v>
      </c>
      <c r="D6" s="28"/>
      <c r="E6" s="73" t="s">
        <v>55</v>
      </c>
      <c r="F6" s="132">
        <v>570.0</v>
      </c>
      <c r="G6" s="132">
        <v>573.0</v>
      </c>
      <c r="H6" s="141" t="s">
        <v>79</v>
      </c>
      <c r="I6" s="94">
        <v>15.0</v>
      </c>
      <c r="J6" s="94">
        <v>0.0</v>
      </c>
    </row>
    <row r="7" ht="15.0" customHeight="1">
      <c r="B7" s="82" t="s">
        <v>94</v>
      </c>
      <c r="C7" s="142">
        <v>80.0</v>
      </c>
      <c r="D7" s="28"/>
      <c r="E7" s="105" t="s">
        <v>67</v>
      </c>
      <c r="F7" s="143">
        <v>80.0</v>
      </c>
      <c r="G7" s="143">
        <v>81.7</v>
      </c>
      <c r="H7" s="141" t="s">
        <v>104</v>
      </c>
      <c r="I7" s="94">
        <v>30.0</v>
      </c>
      <c r="J7" s="94">
        <v>0.0</v>
      </c>
    </row>
    <row r="8" ht="15.0" customHeight="1">
      <c r="B8" s="82" t="s">
        <v>105</v>
      </c>
      <c r="C8" s="83">
        <f>300-135</f>
        <v>165</v>
      </c>
      <c r="D8" s="28"/>
      <c r="E8" s="105"/>
      <c r="F8" s="134"/>
      <c r="G8" s="134"/>
      <c r="H8" s="94" t="s">
        <v>106</v>
      </c>
      <c r="I8" s="94">
        <v>82.0</v>
      </c>
      <c r="J8" s="94">
        <v>0.0</v>
      </c>
    </row>
    <row r="9" ht="15.0" customHeight="1">
      <c r="B9" s="77"/>
      <c r="C9" s="144"/>
      <c r="D9" s="28"/>
      <c r="E9" s="105" t="s">
        <v>107</v>
      </c>
      <c r="F9" s="138">
        <v>289.0</v>
      </c>
      <c r="G9" s="138">
        <v>289.0</v>
      </c>
      <c r="H9" s="141" t="s">
        <v>108</v>
      </c>
      <c r="I9" s="94">
        <v>115.0</v>
      </c>
      <c r="J9" s="94">
        <v>0.0</v>
      </c>
    </row>
    <row r="10" ht="15.0" customHeight="1">
      <c r="B10" s="77" t="s">
        <v>109</v>
      </c>
      <c r="C10" s="108">
        <v>385.0</v>
      </c>
      <c r="D10" s="28"/>
      <c r="E10" s="107"/>
      <c r="F10" s="137"/>
      <c r="G10" s="137"/>
      <c r="H10" s="141" t="s">
        <v>110</v>
      </c>
      <c r="I10" s="94">
        <f>22+27</f>
        <v>49</v>
      </c>
    </row>
    <row r="11" ht="15.0" customHeight="1">
      <c r="B11" s="77" t="s">
        <v>111</v>
      </c>
      <c r="C11" s="84">
        <v>200.0</v>
      </c>
      <c r="D11" s="28"/>
      <c r="E11" s="105" t="s">
        <v>112</v>
      </c>
      <c r="F11" s="138">
        <f>25+200+5+6+4+4++6+20+2</f>
        <v>272</v>
      </c>
      <c r="G11" s="138">
        <v>272.0</v>
      </c>
      <c r="H11" s="141" t="s">
        <v>113</v>
      </c>
      <c r="I11" s="94">
        <f>8+11.5+12</f>
        <v>31.5</v>
      </c>
    </row>
    <row r="12" ht="15.0" customHeight="1">
      <c r="B12" s="77" t="s">
        <v>114</v>
      </c>
      <c r="C12" s="145">
        <f>1900/2</f>
        <v>950</v>
      </c>
      <c r="D12" s="28"/>
      <c r="E12" s="73" t="s">
        <v>115</v>
      </c>
      <c r="F12" s="146">
        <v>57.0</v>
      </c>
      <c r="G12" s="146">
        <v>57.0</v>
      </c>
      <c r="H12" s="141" t="s">
        <v>116</v>
      </c>
      <c r="I12" s="94">
        <v>40.0</v>
      </c>
    </row>
    <row r="13" ht="15.0" customHeight="1">
      <c r="B13" s="54" t="s">
        <v>16</v>
      </c>
      <c r="C13" s="55">
        <f>SUM(C4:C12)</f>
        <v>1965</v>
      </c>
      <c r="D13" s="28"/>
      <c r="E13" s="105"/>
      <c r="F13" s="135"/>
      <c r="G13" s="135"/>
      <c r="H13" s="94" t="s">
        <v>117</v>
      </c>
      <c r="I13" s="94">
        <f>15+20+25</f>
        <v>60</v>
      </c>
    </row>
    <row r="14" ht="15.0" customHeight="1">
      <c r="B14" s="112"/>
      <c r="C14" s="113"/>
      <c r="D14" s="28"/>
      <c r="E14" s="103"/>
      <c r="F14" s="139"/>
      <c r="G14" s="139"/>
      <c r="H14" s="141" t="s">
        <v>118</v>
      </c>
      <c r="I14" s="94">
        <v>45.0</v>
      </c>
    </row>
    <row r="15" ht="15.0" customHeight="1">
      <c r="B15" s="28"/>
      <c r="C15" s="29"/>
      <c r="D15" s="28"/>
      <c r="E15" s="77"/>
      <c r="F15" s="147"/>
      <c r="G15" s="147"/>
      <c r="H15" s="141" t="s">
        <v>119</v>
      </c>
      <c r="I15" s="94">
        <f>10+10+18+27+22</f>
        <v>87</v>
      </c>
    </row>
    <row r="16" ht="15.0" customHeight="1">
      <c r="B16" s="115" t="s">
        <v>77</v>
      </c>
      <c r="C16" s="116">
        <f>SUM(C4:C12)</f>
        <v>1965</v>
      </c>
      <c r="D16" s="28"/>
      <c r="E16" s="107"/>
      <c r="F16" s="109"/>
      <c r="G16" s="109"/>
      <c r="H16" s="141" t="s">
        <v>120</v>
      </c>
      <c r="I16" s="94">
        <f>28+16+7+24+14+8.9+15</f>
        <v>112.9</v>
      </c>
    </row>
    <row r="17" ht="15.0" customHeight="1">
      <c r="B17" s="56"/>
      <c r="C17" s="56"/>
      <c r="D17" s="28"/>
      <c r="E17" s="107"/>
      <c r="F17" s="109"/>
      <c r="G17" s="109"/>
      <c r="H17" s="94" t="s">
        <v>121</v>
      </c>
      <c r="I17" s="94">
        <f>10+15</f>
        <v>25</v>
      </c>
    </row>
    <row r="18" ht="15.0" customHeight="1">
      <c r="B18" s="148" t="s">
        <v>122</v>
      </c>
      <c r="C18" s="149">
        <f>F22+I22</f>
        <v>-4.3</v>
      </c>
      <c r="D18" s="28"/>
      <c r="E18" s="73"/>
      <c r="F18" s="121"/>
      <c r="G18" s="121"/>
      <c r="H18" s="94" t="s">
        <v>123</v>
      </c>
      <c r="I18" s="94">
        <v>15.0</v>
      </c>
    </row>
    <row r="19" ht="15.0" customHeight="1">
      <c r="B19" s="56"/>
      <c r="C19" s="56"/>
      <c r="D19" s="28"/>
      <c r="E19" s="73"/>
      <c r="F19" s="121"/>
      <c r="G19" s="121"/>
      <c r="H19" s="94" t="s">
        <v>124</v>
      </c>
      <c r="I19" s="67">
        <f>10+11+11+10+10+59+8</f>
        <v>119</v>
      </c>
    </row>
    <row r="20" ht="15.0" customHeight="1">
      <c r="B20" s="150" t="s">
        <v>125</v>
      </c>
      <c r="C20" s="151"/>
      <c r="D20" s="28"/>
      <c r="E20" s="73"/>
      <c r="F20" s="121"/>
      <c r="G20" s="121"/>
      <c r="H20" s="94" t="s">
        <v>126</v>
      </c>
      <c r="I20" s="94">
        <v>78.0</v>
      </c>
      <c r="J20" s="94">
        <v>934.0</v>
      </c>
    </row>
    <row r="21" ht="15.0" customHeight="1">
      <c r="B21" s="56"/>
      <c r="C21" s="56"/>
      <c r="D21" s="28"/>
      <c r="E21" s="73"/>
      <c r="F21" s="121"/>
      <c r="G21" s="121"/>
    </row>
    <row r="22" ht="15.0" customHeight="1">
      <c r="B22" s="150" t="s">
        <v>6</v>
      </c>
      <c r="C22" s="149">
        <f>C18-C20</f>
        <v>-4.3</v>
      </c>
      <c r="D22" s="28"/>
      <c r="E22" s="73"/>
      <c r="F22" s="121">
        <f>SUM(F4:F21) - G22
</f>
        <v>-4.7</v>
      </c>
      <c r="G22" s="121">
        <f>SUM(G4:G21)</f>
        <v>1596.7</v>
      </c>
      <c r="H22" s="152"/>
      <c r="I22" s="121">
        <f>SUM(I4:I21) - J22
</f>
        <v>0.4</v>
      </c>
      <c r="J22" s="121">
        <f>SUM(J4:J21)</f>
        <v>934</v>
      </c>
    </row>
    <row r="23" ht="15.0" customHeight="1">
      <c r="B23" s="56"/>
      <c r="C23" s="56"/>
      <c r="D23" s="28"/>
      <c r="E23" s="122"/>
      <c r="F23" s="123" t="s">
        <v>86</v>
      </c>
      <c r="G23" s="123" t="s">
        <v>87</v>
      </c>
      <c r="H23" s="152"/>
      <c r="I23" s="123" t="s">
        <v>127</v>
      </c>
      <c r="J23" s="123" t="s">
        <v>87</v>
      </c>
    </row>
    <row r="24" ht="15.0" customHeight="1">
      <c r="B24" s="153"/>
      <c r="C24" s="154"/>
      <c r="D24" s="28"/>
      <c r="E24" s="124"/>
      <c r="F24" s="29"/>
      <c r="G24" s="29"/>
    </row>
    <row r="25" ht="15.0" customHeight="1">
      <c r="D25" s="28"/>
      <c r="E25" s="124"/>
      <c r="F25" s="29"/>
      <c r="G25" s="29"/>
    </row>
    <row r="26" ht="15.0" customHeight="1">
      <c r="B26" s="28"/>
      <c r="C26" s="29"/>
      <c r="D26" s="28"/>
      <c r="E26" s="124"/>
      <c r="F26" s="29"/>
      <c r="G26" s="29"/>
    </row>
    <row r="27" ht="15.0" customHeight="1">
      <c r="B27" s="32"/>
      <c r="D27" s="28"/>
      <c r="E27" s="124"/>
      <c r="F27" s="29"/>
      <c r="G27" s="29"/>
    </row>
    <row r="28" ht="15.0" customHeight="1">
      <c r="D28" s="28"/>
      <c r="E28" s="124"/>
      <c r="F28" s="29"/>
      <c r="G28" s="29"/>
    </row>
    <row r="29" ht="15.0" customHeight="1">
      <c r="B29" s="32"/>
      <c r="C29" s="32"/>
      <c r="D29" s="28"/>
      <c r="E29" s="124"/>
      <c r="F29" s="29"/>
      <c r="G29" s="29"/>
    </row>
    <row r="30" ht="15.0" customHeight="1">
      <c r="D30" s="28"/>
      <c r="E30" s="124"/>
      <c r="F30" s="29"/>
      <c r="G30" s="29"/>
    </row>
    <row r="31" ht="18.0" customHeight="1">
      <c r="D31" s="28"/>
      <c r="E31" s="124"/>
      <c r="F31" s="29"/>
      <c r="G31" s="29"/>
    </row>
    <row r="32" ht="18.0" customHeight="1">
      <c r="B32" s="32"/>
      <c r="D32" s="28"/>
      <c r="E32" s="124"/>
      <c r="F32" s="29"/>
      <c r="G32" s="29"/>
    </row>
    <row r="33" ht="18.0" customHeight="1">
      <c r="E33" s="125"/>
      <c r="F33" s="126"/>
      <c r="G33" s="126"/>
    </row>
    <row r="34" ht="14.25" customHeight="1">
      <c r="E34" s="127"/>
      <c r="F34" s="128"/>
      <c r="G34" s="128"/>
    </row>
    <row r="35" ht="14.25" customHeight="1">
      <c r="E35" s="129"/>
      <c r="F35" s="130"/>
      <c r="G35" s="13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5">
    <mergeCell ref="B20:B21"/>
    <mergeCell ref="C20:C21"/>
    <mergeCell ref="B22:B23"/>
    <mergeCell ref="C22:C23"/>
    <mergeCell ref="B24:B25"/>
    <mergeCell ref="C24:C25"/>
    <mergeCell ref="B27:C28"/>
    <mergeCell ref="B32:C33"/>
    <mergeCell ref="B2:C2"/>
    <mergeCell ref="E2:G2"/>
    <mergeCell ref="H2:J2"/>
    <mergeCell ref="B16:B17"/>
    <mergeCell ref="C16:C17"/>
    <mergeCell ref="B18:B19"/>
    <mergeCell ref="C18:C19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3" width="20.29"/>
    <col customWidth="1" min="4" max="4" width="1.43"/>
    <col customWidth="1" min="5" max="5" width="52.14"/>
    <col customWidth="1" min="6" max="6" width="15.14"/>
    <col customWidth="1" min="7" max="7" width="13.0"/>
    <col customWidth="1" min="8" max="8" width="15.0"/>
    <col customWidth="1" min="9" max="9" width="10.0"/>
    <col customWidth="1" min="10" max="24" width="8.71"/>
  </cols>
  <sheetData>
    <row r="1" ht="3.75" customHeight="1"/>
    <row r="2" ht="24.75" customHeight="1">
      <c r="B2" s="41" t="s">
        <v>7</v>
      </c>
      <c r="C2" s="6"/>
      <c r="D2" s="42"/>
      <c r="E2" s="4" t="s">
        <v>61</v>
      </c>
      <c r="F2" s="5"/>
      <c r="G2" s="6"/>
      <c r="H2" s="4" t="s">
        <v>99</v>
      </c>
      <c r="I2" s="5"/>
      <c r="J2" s="6"/>
    </row>
    <row r="3" ht="18.0" customHeight="1">
      <c r="B3" s="12" t="s">
        <v>9</v>
      </c>
      <c r="C3" s="43" t="s">
        <v>4</v>
      </c>
      <c r="D3" s="28"/>
      <c r="E3" s="12"/>
      <c r="F3" s="98" t="s">
        <v>4</v>
      </c>
      <c r="G3" s="98" t="s">
        <v>62</v>
      </c>
      <c r="H3" s="98" t="s">
        <v>100</v>
      </c>
      <c r="I3" s="98" t="s">
        <v>101</v>
      </c>
      <c r="J3" s="98" t="s">
        <v>62</v>
      </c>
    </row>
    <row r="4" ht="15.0" customHeight="1">
      <c r="B4" s="99"/>
      <c r="C4" s="140"/>
      <c r="D4" s="28"/>
      <c r="E4" s="73" t="s">
        <v>128</v>
      </c>
      <c r="F4" s="155">
        <v>174.0</v>
      </c>
      <c r="G4" s="155">
        <f>172*2</f>
        <v>344</v>
      </c>
      <c r="H4" s="94" t="s">
        <v>129</v>
      </c>
      <c r="I4" s="94">
        <v>82.0</v>
      </c>
      <c r="J4" s="94">
        <v>0.0</v>
      </c>
    </row>
    <row r="5" ht="15.0" customHeight="1">
      <c r="B5" s="77" t="s">
        <v>65</v>
      </c>
      <c r="C5" s="100">
        <v>50.0</v>
      </c>
      <c r="D5" s="28"/>
      <c r="E5" s="73" t="s">
        <v>130</v>
      </c>
      <c r="F5" s="156">
        <v>150.0</v>
      </c>
      <c r="G5" s="156">
        <v>0.0</v>
      </c>
      <c r="H5" s="94" t="s">
        <v>131</v>
      </c>
      <c r="I5" s="94">
        <v>40.0</v>
      </c>
      <c r="J5" s="94">
        <v>0.0</v>
      </c>
    </row>
    <row r="6" ht="15.0" customHeight="1">
      <c r="B6" s="77" t="s">
        <v>93</v>
      </c>
      <c r="C6" s="84">
        <v>300.0</v>
      </c>
      <c r="D6" s="28"/>
      <c r="E6" s="73"/>
      <c r="F6" s="156"/>
      <c r="G6" s="156"/>
      <c r="H6" s="94" t="s">
        <v>132</v>
      </c>
      <c r="I6" s="94">
        <v>45.0</v>
      </c>
      <c r="J6" s="94">
        <v>0.0</v>
      </c>
    </row>
    <row r="7" ht="15.0" customHeight="1">
      <c r="B7" s="77" t="s">
        <v>133</v>
      </c>
      <c r="C7" s="108">
        <v>100.0</v>
      </c>
      <c r="D7" s="28"/>
      <c r="E7" s="105" t="s">
        <v>134</v>
      </c>
      <c r="F7" s="106">
        <v>79.9</v>
      </c>
      <c r="G7" s="106">
        <v>79.9</v>
      </c>
      <c r="H7" s="94" t="s">
        <v>135</v>
      </c>
      <c r="I7" s="67">
        <f>570/2</f>
        <v>285</v>
      </c>
      <c r="J7" s="94">
        <v>0.0</v>
      </c>
    </row>
    <row r="8" ht="15.0" customHeight="1">
      <c r="B8" s="82" t="s">
        <v>136</v>
      </c>
      <c r="C8" s="83">
        <f>1900/2</f>
        <v>950</v>
      </c>
      <c r="D8" s="28"/>
      <c r="E8" s="105" t="s">
        <v>137</v>
      </c>
      <c r="F8" s="157">
        <v>79.9</v>
      </c>
      <c r="G8" s="157">
        <v>79.9</v>
      </c>
      <c r="H8" s="94" t="s">
        <v>138</v>
      </c>
      <c r="I8" s="94">
        <v>76.0</v>
      </c>
    </row>
    <row r="9" ht="15.0" customHeight="1">
      <c r="B9" s="77" t="s">
        <v>139</v>
      </c>
      <c r="C9" s="84">
        <v>1200.0</v>
      </c>
      <c r="D9" s="28"/>
      <c r="E9" s="105" t="s">
        <v>140</v>
      </c>
      <c r="F9" s="158">
        <v>81.0</v>
      </c>
      <c r="G9" s="158">
        <v>81.0</v>
      </c>
      <c r="H9" s="94" t="s">
        <v>141</v>
      </c>
      <c r="I9" s="94">
        <v>153.0</v>
      </c>
    </row>
    <row r="10" ht="15.0" customHeight="1">
      <c r="B10" s="77" t="s">
        <v>142</v>
      </c>
      <c r="C10" s="136">
        <v>455.0</v>
      </c>
      <c r="D10" s="28"/>
      <c r="E10" s="107"/>
      <c r="F10" s="159"/>
      <c r="G10" s="159"/>
      <c r="H10" s="94" t="s">
        <v>143</v>
      </c>
      <c r="I10" s="67">
        <f>20</f>
        <v>20</v>
      </c>
    </row>
    <row r="11" ht="15.0" customHeight="1">
      <c r="B11" s="77" t="s">
        <v>144</v>
      </c>
      <c r="C11" s="144">
        <f>350-150</f>
        <v>200</v>
      </c>
      <c r="D11" s="28"/>
      <c r="E11" s="105"/>
      <c r="F11" s="160"/>
      <c r="G11" s="160"/>
      <c r="H11" s="94" t="s">
        <v>145</v>
      </c>
      <c r="I11" s="94">
        <v>117.0</v>
      </c>
    </row>
    <row r="12" ht="15.0" customHeight="1">
      <c r="B12" s="77" t="s">
        <v>146</v>
      </c>
      <c r="C12" s="84">
        <v>70.0</v>
      </c>
      <c r="D12" s="28"/>
      <c r="E12" s="73"/>
      <c r="F12" s="121"/>
      <c r="G12" s="121"/>
      <c r="H12" s="94" t="s">
        <v>87</v>
      </c>
      <c r="J12" s="94">
        <v>818.0</v>
      </c>
    </row>
    <row r="13" ht="15.0" customHeight="1">
      <c r="B13" s="54" t="s">
        <v>16</v>
      </c>
      <c r="C13" s="55">
        <f>SUM(C4:C12)</f>
        <v>3325</v>
      </c>
      <c r="D13" s="28"/>
      <c r="E13" s="161"/>
      <c r="F13" s="162"/>
      <c r="G13" s="163"/>
    </row>
    <row r="14" ht="15.0" customHeight="1">
      <c r="B14" s="112"/>
      <c r="C14" s="113"/>
      <c r="D14" s="28"/>
      <c r="E14" s="164"/>
      <c r="F14" s="165"/>
      <c r="G14" s="165"/>
    </row>
    <row r="15" ht="15.0" customHeight="1">
      <c r="B15" s="28"/>
      <c r="C15" s="29"/>
      <c r="D15" s="28"/>
      <c r="E15" s="77" t="s">
        <v>75</v>
      </c>
      <c r="F15" s="85">
        <v>35.0</v>
      </c>
      <c r="G15" s="85">
        <v>35.0</v>
      </c>
    </row>
    <row r="16" ht="15.0" customHeight="1">
      <c r="B16" s="115" t="s">
        <v>77</v>
      </c>
      <c r="C16" s="116">
        <f>SUM(C4:C12)</f>
        <v>3325</v>
      </c>
      <c r="D16" s="28"/>
      <c r="E16" s="107"/>
      <c r="F16" s="109"/>
      <c r="G16" s="109"/>
    </row>
    <row r="17" ht="15.0" customHeight="1">
      <c r="B17" s="56"/>
      <c r="C17" s="56"/>
      <c r="D17" s="28"/>
      <c r="E17" s="107"/>
      <c r="F17" s="109"/>
      <c r="G17" s="109"/>
    </row>
    <row r="18" ht="15.0" customHeight="1">
      <c r="B18" s="148" t="s">
        <v>122</v>
      </c>
      <c r="C18" s="149">
        <f>F22+I22</f>
        <v>-20</v>
      </c>
      <c r="D18" s="28"/>
      <c r="E18" s="73"/>
      <c r="F18" s="121"/>
      <c r="G18" s="121"/>
    </row>
    <row r="19" ht="15.0" customHeight="1">
      <c r="B19" s="56"/>
      <c r="C19" s="56"/>
      <c r="D19" s="28"/>
      <c r="E19" s="73"/>
      <c r="F19" s="121"/>
      <c r="G19" s="121"/>
    </row>
    <row r="20" ht="15.0" customHeight="1">
      <c r="B20" s="166"/>
      <c r="C20" s="167"/>
      <c r="D20" s="28"/>
      <c r="E20" s="73"/>
      <c r="F20" s="121"/>
      <c r="G20" s="121"/>
    </row>
    <row r="21" ht="15.0" customHeight="1">
      <c r="B21" s="56"/>
      <c r="C21" s="56"/>
      <c r="D21" s="28"/>
      <c r="E21" s="73"/>
      <c r="F21" s="121"/>
      <c r="G21" s="121"/>
    </row>
    <row r="22" ht="15.0" customHeight="1">
      <c r="B22" s="166"/>
      <c r="C22" s="168"/>
      <c r="D22" s="28"/>
      <c r="E22" s="73"/>
      <c r="F22" s="121">
        <f>SUM(F4:F21) - G22
</f>
        <v>-20</v>
      </c>
      <c r="G22" s="121">
        <f>SUM(G4:G21)</f>
        <v>619.8</v>
      </c>
      <c r="H22" s="152"/>
      <c r="I22" s="121">
        <f>SUM(I4:I21) - J22
</f>
        <v>0</v>
      </c>
      <c r="J22" s="121">
        <f>SUM(J4:J21)</f>
        <v>818</v>
      </c>
    </row>
    <row r="23" ht="15.0" customHeight="1">
      <c r="B23" s="56"/>
      <c r="C23" s="56"/>
      <c r="D23" s="28"/>
      <c r="E23" s="122"/>
      <c r="F23" s="123" t="s">
        <v>86</v>
      </c>
      <c r="G23" s="123" t="s">
        <v>87</v>
      </c>
      <c r="H23" s="152"/>
      <c r="I23" s="123" t="s">
        <v>127</v>
      </c>
      <c r="J23" s="123" t="s">
        <v>87</v>
      </c>
    </row>
    <row r="24" ht="15.0" customHeight="1">
      <c r="B24" s="153"/>
      <c r="C24" s="154"/>
      <c r="D24" s="28"/>
      <c r="E24" s="124"/>
      <c r="F24" s="29"/>
      <c r="G24" s="29"/>
    </row>
    <row r="25" ht="15.0" customHeight="1">
      <c r="D25" s="28"/>
      <c r="E25" s="124"/>
      <c r="F25" s="29"/>
      <c r="G25" s="29"/>
    </row>
    <row r="26" ht="15.0" customHeight="1">
      <c r="B26" s="28"/>
      <c r="C26" s="29"/>
      <c r="D26" s="28"/>
      <c r="E26" s="124"/>
      <c r="F26" s="29"/>
      <c r="G26" s="29"/>
    </row>
    <row r="27" ht="15.0" customHeight="1">
      <c r="B27" s="32"/>
      <c r="D27" s="28"/>
      <c r="E27" s="124"/>
      <c r="F27" s="29"/>
      <c r="G27" s="29"/>
    </row>
    <row r="28" ht="15.0" customHeight="1">
      <c r="D28" s="28"/>
      <c r="E28" s="124"/>
      <c r="F28" s="29"/>
      <c r="G28" s="29"/>
    </row>
    <row r="29" ht="15.0" customHeight="1">
      <c r="B29" s="32"/>
      <c r="C29" s="32"/>
      <c r="D29" s="28"/>
      <c r="E29" s="124"/>
      <c r="F29" s="29"/>
      <c r="G29" s="29"/>
    </row>
    <row r="30" ht="15.0" customHeight="1">
      <c r="D30" s="28"/>
      <c r="E30" s="124"/>
      <c r="F30" s="29"/>
      <c r="G30" s="29"/>
    </row>
    <row r="31" ht="18.0" customHeight="1">
      <c r="D31" s="28"/>
      <c r="E31" s="124"/>
      <c r="F31" s="29"/>
      <c r="G31" s="29"/>
    </row>
    <row r="32" ht="18.0" customHeight="1">
      <c r="B32" s="32"/>
      <c r="D32" s="28"/>
      <c r="E32" s="124"/>
      <c r="F32" s="29"/>
      <c r="G32" s="29"/>
    </row>
    <row r="33" ht="18.0" customHeight="1">
      <c r="E33" s="125"/>
      <c r="F33" s="126"/>
      <c r="G33" s="126"/>
    </row>
    <row r="34" ht="14.25" customHeight="1">
      <c r="E34" s="127"/>
      <c r="F34" s="128"/>
      <c r="G34" s="128"/>
    </row>
    <row r="35" ht="14.25" customHeight="1">
      <c r="E35" s="129"/>
      <c r="F35" s="130"/>
      <c r="G35" s="13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5">
    <mergeCell ref="B20:B21"/>
    <mergeCell ref="C20:C21"/>
    <mergeCell ref="B22:B23"/>
    <mergeCell ref="C22:C23"/>
    <mergeCell ref="B24:B25"/>
    <mergeCell ref="C24:C25"/>
    <mergeCell ref="B27:C28"/>
    <mergeCell ref="B32:C33"/>
    <mergeCell ref="B2:C2"/>
    <mergeCell ref="E2:G2"/>
    <mergeCell ref="H2:J2"/>
    <mergeCell ref="B16:B17"/>
    <mergeCell ref="C16:C17"/>
    <mergeCell ref="B18:B19"/>
    <mergeCell ref="C18:C19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3" width="20.29"/>
    <col customWidth="1" min="4" max="4" width="1.43"/>
    <col customWidth="1" min="5" max="5" width="52.14"/>
    <col customWidth="1" min="6" max="6" width="15.14"/>
    <col customWidth="1" min="7" max="7" width="13.0"/>
    <col customWidth="1" min="8" max="8" width="15.0"/>
    <col customWidth="1" min="9" max="9" width="10.0"/>
    <col customWidth="1" min="10" max="24" width="8.71"/>
  </cols>
  <sheetData>
    <row r="1" ht="3.75" customHeight="1">
      <c r="B1" s="29"/>
    </row>
    <row r="2" ht="24.75" customHeight="1">
      <c r="B2" s="41" t="s">
        <v>7</v>
      </c>
      <c r="C2" s="6"/>
      <c r="D2" s="42"/>
      <c r="E2" s="4" t="s">
        <v>61</v>
      </c>
      <c r="F2" s="5"/>
      <c r="G2" s="6"/>
      <c r="H2" s="4" t="s">
        <v>99</v>
      </c>
      <c r="I2" s="5"/>
      <c r="J2" s="6"/>
    </row>
    <row r="3" ht="18.0" customHeight="1">
      <c r="B3" s="12" t="s">
        <v>9</v>
      </c>
      <c r="C3" s="43" t="s">
        <v>4</v>
      </c>
      <c r="D3" s="28"/>
      <c r="E3" s="12"/>
      <c r="F3" s="98" t="s">
        <v>4</v>
      </c>
      <c r="G3" s="98" t="s">
        <v>62</v>
      </c>
      <c r="H3" s="98" t="s">
        <v>100</v>
      </c>
      <c r="I3" s="98" t="s">
        <v>101</v>
      </c>
      <c r="J3" s="98" t="s">
        <v>62</v>
      </c>
    </row>
    <row r="4" ht="15.0" customHeight="1">
      <c r="B4" s="82" t="s">
        <v>147</v>
      </c>
      <c r="C4" s="169">
        <v>50.0</v>
      </c>
      <c r="D4" s="28"/>
      <c r="E4" s="73" t="s">
        <v>148</v>
      </c>
      <c r="F4" s="155">
        <v>170.0</v>
      </c>
      <c r="G4" s="155">
        <v>179.0</v>
      </c>
      <c r="H4" s="94" t="s">
        <v>149</v>
      </c>
      <c r="I4" s="67">
        <f>570/2</f>
        <v>285</v>
      </c>
      <c r="J4" s="94">
        <v>0.0</v>
      </c>
    </row>
    <row r="5" ht="15.0" customHeight="1">
      <c r="B5" s="170" t="s">
        <v>150</v>
      </c>
      <c r="C5" s="171">
        <v>150.0</v>
      </c>
      <c r="D5" s="28"/>
      <c r="E5" s="73" t="s">
        <v>151</v>
      </c>
      <c r="F5" s="155">
        <v>150.0</v>
      </c>
      <c r="G5" s="155">
        <v>150.0</v>
      </c>
      <c r="H5" s="94" t="s">
        <v>152</v>
      </c>
      <c r="I5" s="94">
        <v>76.0</v>
      </c>
    </row>
    <row r="6" ht="15.0" customHeight="1">
      <c r="B6" s="170" t="s">
        <v>153</v>
      </c>
      <c r="C6" s="172">
        <v>1300.0</v>
      </c>
      <c r="D6" s="28"/>
      <c r="E6" s="73" t="s">
        <v>154</v>
      </c>
      <c r="F6" s="173">
        <v>200.0</v>
      </c>
      <c r="G6" s="155">
        <v>200.0</v>
      </c>
      <c r="H6" s="94" t="s">
        <v>155</v>
      </c>
      <c r="I6" s="67">
        <f>318/3</f>
        <v>106</v>
      </c>
    </row>
    <row r="7" ht="15.0" customHeight="1">
      <c r="B7" s="170" t="s">
        <v>156</v>
      </c>
      <c r="C7" s="174">
        <v>150.0</v>
      </c>
      <c r="D7" s="28"/>
      <c r="E7" s="105" t="s">
        <v>157</v>
      </c>
      <c r="F7" s="173">
        <v>80.0</v>
      </c>
      <c r="G7" s="173">
        <v>80.0</v>
      </c>
      <c r="H7" s="94" t="s">
        <v>158</v>
      </c>
      <c r="I7" s="94">
        <f>120/2</f>
        <v>60</v>
      </c>
    </row>
    <row r="8" ht="15.0" customHeight="1">
      <c r="B8" s="103" t="s">
        <v>159</v>
      </c>
      <c r="C8" s="175">
        <v>250.0</v>
      </c>
      <c r="D8" s="28"/>
      <c r="E8" s="105" t="s">
        <v>160</v>
      </c>
      <c r="F8" s="173">
        <v>66.0</v>
      </c>
      <c r="G8" s="173">
        <v>66.0</v>
      </c>
      <c r="H8" s="94" t="s">
        <v>161</v>
      </c>
      <c r="I8" s="94">
        <v>37.0</v>
      </c>
    </row>
    <row r="9" ht="15.0" customHeight="1">
      <c r="B9" s="77" t="s">
        <v>162</v>
      </c>
      <c r="C9" s="176">
        <v>400.0</v>
      </c>
      <c r="D9" s="28"/>
      <c r="E9" s="105"/>
      <c r="F9" s="177"/>
      <c r="G9" s="177"/>
      <c r="H9" s="94" t="s">
        <v>135</v>
      </c>
      <c r="I9" s="94">
        <v>150.0</v>
      </c>
    </row>
    <row r="10" ht="15.0" customHeight="1">
      <c r="B10" s="77" t="s">
        <v>163</v>
      </c>
      <c r="C10" s="108">
        <v>500.0</v>
      </c>
      <c r="D10" s="28"/>
      <c r="E10" s="107"/>
      <c r="F10" s="178"/>
      <c r="G10" s="178"/>
      <c r="H10" s="94" t="s">
        <v>164</v>
      </c>
      <c r="I10" s="94">
        <f>22+11+35+20+22+34+12+24+5+10</f>
        <v>195</v>
      </c>
    </row>
    <row r="11" ht="15.0" customHeight="1">
      <c r="B11" s="77" t="s">
        <v>165</v>
      </c>
      <c r="C11" s="84">
        <v>200.0</v>
      </c>
      <c r="D11" s="28"/>
      <c r="E11" s="105"/>
      <c r="F11" s="160"/>
      <c r="G11" s="160"/>
      <c r="H11" s="94" t="s">
        <v>166</v>
      </c>
      <c r="I11" s="94">
        <v>27.0</v>
      </c>
    </row>
    <row r="12" ht="15.0" customHeight="1">
      <c r="B12" s="77" t="s">
        <v>167</v>
      </c>
      <c r="C12" s="84">
        <v>300.0</v>
      </c>
      <c r="D12" s="28"/>
      <c r="E12" s="73" t="s">
        <v>168</v>
      </c>
      <c r="F12" s="155">
        <f>40+47</f>
        <v>87</v>
      </c>
      <c r="G12" s="155">
        <v>87.0</v>
      </c>
    </row>
    <row r="13" ht="15.0" customHeight="1">
      <c r="B13" s="54" t="s">
        <v>16</v>
      </c>
      <c r="C13" s="55">
        <f>SUM(C4:C12)</f>
        <v>3300</v>
      </c>
      <c r="D13" s="28"/>
      <c r="E13" s="105" t="s">
        <v>169</v>
      </c>
      <c r="F13" s="158">
        <v>35.0</v>
      </c>
      <c r="G13" s="158">
        <v>35.0</v>
      </c>
    </row>
    <row r="14" ht="15.0" customHeight="1">
      <c r="B14" s="112"/>
      <c r="C14" s="113"/>
      <c r="D14" s="28"/>
      <c r="E14" s="103"/>
      <c r="F14" s="179"/>
      <c r="G14" s="179"/>
    </row>
    <row r="15" ht="15.0" customHeight="1">
      <c r="B15" s="28"/>
      <c r="D15" s="28"/>
      <c r="E15" s="77"/>
      <c r="F15" s="160"/>
      <c r="G15" s="160"/>
    </row>
    <row r="16" ht="15.0" customHeight="1">
      <c r="B16" s="115" t="s">
        <v>77</v>
      </c>
      <c r="C16" s="116">
        <f>SUM(C4:C12)</f>
        <v>3300</v>
      </c>
      <c r="D16" s="28"/>
      <c r="E16" s="107" t="s">
        <v>170</v>
      </c>
      <c r="F16" s="104">
        <v>370.0</v>
      </c>
      <c r="G16" s="104">
        <v>370.0</v>
      </c>
    </row>
    <row r="17" ht="15.0" customHeight="1">
      <c r="B17" s="56"/>
      <c r="C17" s="56"/>
      <c r="D17" s="28"/>
      <c r="E17" s="107"/>
      <c r="F17" s="109"/>
      <c r="G17" s="109"/>
    </row>
    <row r="18" ht="15.0" customHeight="1">
      <c r="B18" s="148" t="s">
        <v>122</v>
      </c>
      <c r="C18" s="149">
        <f>F22+I22</f>
        <v>927</v>
      </c>
      <c r="D18" s="28"/>
      <c r="E18" s="73"/>
      <c r="F18" s="121"/>
      <c r="G18" s="121"/>
    </row>
    <row r="19" ht="15.0" customHeight="1">
      <c r="B19" s="56"/>
      <c r="C19" s="56"/>
      <c r="D19" s="28"/>
      <c r="E19" s="73"/>
      <c r="F19" s="121"/>
      <c r="G19" s="121"/>
    </row>
    <row r="20" ht="15.0" customHeight="1">
      <c r="B20" s="150" t="s">
        <v>125</v>
      </c>
      <c r="C20" s="180"/>
      <c r="D20" s="28"/>
      <c r="E20" s="73"/>
      <c r="F20" s="121"/>
      <c r="G20" s="121"/>
    </row>
    <row r="21" ht="15.0" customHeight="1">
      <c r="B21" s="56"/>
      <c r="C21" s="56"/>
      <c r="D21" s="28"/>
      <c r="E21" s="73"/>
      <c r="F21" s="121"/>
      <c r="G21" s="121"/>
    </row>
    <row r="22" ht="15.0" customHeight="1">
      <c r="B22" s="166"/>
      <c r="C22" s="168"/>
      <c r="D22" s="28"/>
      <c r="E22" s="73"/>
      <c r="F22" s="121">
        <f>SUM(F4:F21) - G22
</f>
        <v>-9</v>
      </c>
      <c r="G22" s="121">
        <f>SUM(G4:G21)</f>
        <v>1167</v>
      </c>
      <c r="H22" s="152"/>
      <c r="I22" s="121">
        <f>SUM(I4:I21) - J22
</f>
        <v>936</v>
      </c>
      <c r="J22" s="121">
        <f>SUM(J4:J21)</f>
        <v>0</v>
      </c>
    </row>
    <row r="23" ht="15.0" customHeight="1">
      <c r="B23" s="56"/>
      <c r="C23" s="56"/>
      <c r="D23" s="28"/>
      <c r="E23" s="122"/>
      <c r="F23" s="123" t="s">
        <v>86</v>
      </c>
      <c r="G23" s="123" t="s">
        <v>87</v>
      </c>
      <c r="H23" s="152"/>
      <c r="I23" s="123" t="s">
        <v>127</v>
      </c>
      <c r="J23" s="123" t="s">
        <v>87</v>
      </c>
    </row>
    <row r="24" ht="15.0" customHeight="1">
      <c r="B24" s="153"/>
      <c r="C24" s="154"/>
      <c r="D24" s="28"/>
      <c r="E24" s="124"/>
      <c r="F24" s="29"/>
      <c r="G24" s="29"/>
    </row>
    <row r="25" ht="15.0" customHeight="1">
      <c r="D25" s="28"/>
      <c r="E25" s="124"/>
      <c r="F25" s="29"/>
      <c r="G25" s="29"/>
    </row>
    <row r="26" ht="15.0" customHeight="1">
      <c r="B26" s="28"/>
      <c r="C26" s="29"/>
      <c r="D26" s="28"/>
      <c r="E26" s="124"/>
      <c r="F26" s="29"/>
      <c r="G26" s="29"/>
    </row>
    <row r="27" ht="15.0" customHeight="1">
      <c r="B27" s="32"/>
      <c r="D27" s="28"/>
      <c r="E27" s="124"/>
      <c r="F27" s="29"/>
      <c r="G27" s="29"/>
    </row>
    <row r="28" ht="15.0" customHeight="1">
      <c r="D28" s="28"/>
      <c r="E28" s="124"/>
      <c r="F28" s="29"/>
      <c r="G28" s="29"/>
    </row>
    <row r="29" ht="15.0" customHeight="1">
      <c r="B29" s="32"/>
      <c r="C29" s="32"/>
      <c r="D29" s="28"/>
      <c r="E29" s="124"/>
      <c r="F29" s="29"/>
      <c r="G29" s="29"/>
    </row>
    <row r="30" ht="15.0" customHeight="1">
      <c r="D30" s="28"/>
      <c r="E30" s="124"/>
      <c r="F30" s="29"/>
      <c r="G30" s="29"/>
    </row>
    <row r="31" ht="18.0" customHeight="1">
      <c r="D31" s="28"/>
      <c r="E31" s="124"/>
      <c r="F31" s="29"/>
      <c r="G31" s="29"/>
    </row>
    <row r="32" ht="18.0" customHeight="1">
      <c r="B32" s="32"/>
      <c r="D32" s="28"/>
      <c r="E32" s="124"/>
      <c r="F32" s="29"/>
      <c r="G32" s="29"/>
    </row>
    <row r="33" ht="18.0" customHeight="1">
      <c r="E33" s="125"/>
      <c r="F33" s="126"/>
      <c r="G33" s="126"/>
    </row>
    <row r="34" ht="14.25" customHeight="1">
      <c r="E34" s="127"/>
      <c r="F34" s="128"/>
      <c r="G34" s="128"/>
    </row>
    <row r="35" ht="14.25" customHeight="1">
      <c r="E35" s="129"/>
      <c r="F35" s="130"/>
      <c r="G35" s="13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5">
    <mergeCell ref="B20:B21"/>
    <mergeCell ref="C20:C21"/>
    <mergeCell ref="B22:B23"/>
    <mergeCell ref="C22:C23"/>
    <mergeCell ref="B24:B25"/>
    <mergeCell ref="C24:C25"/>
    <mergeCell ref="B27:C28"/>
    <mergeCell ref="B32:C33"/>
    <mergeCell ref="B2:C2"/>
    <mergeCell ref="E2:G2"/>
    <mergeCell ref="H2:J2"/>
    <mergeCell ref="B16:B17"/>
    <mergeCell ref="C16:C17"/>
    <mergeCell ref="B18:B19"/>
    <mergeCell ref="C18:C19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14"/>
    <col customWidth="1" min="2" max="2" width="46.86"/>
    <col customWidth="1" min="3" max="3" width="20.29"/>
    <col customWidth="1" min="4" max="4" width="1.43"/>
    <col customWidth="1" min="5" max="5" width="27.86"/>
    <col customWidth="1" min="6" max="6" width="15.14"/>
    <col customWidth="1" min="7" max="8" width="13.0"/>
    <col customWidth="1" min="9" max="9" width="16.86"/>
    <col customWidth="1" min="10" max="10" width="10.0"/>
    <col customWidth="1" min="11" max="25" width="8.71"/>
  </cols>
  <sheetData>
    <row r="1" ht="3.75" customHeight="1">
      <c r="B1" s="29"/>
    </row>
    <row r="2" ht="24.75" customHeight="1">
      <c r="B2" s="41" t="s">
        <v>7</v>
      </c>
      <c r="C2" s="6"/>
      <c r="D2" s="42"/>
      <c r="E2" s="4" t="s">
        <v>61</v>
      </c>
      <c r="F2" s="5"/>
      <c r="G2" s="6"/>
      <c r="H2" s="181"/>
      <c r="I2" s="4" t="s">
        <v>99</v>
      </c>
      <c r="J2" s="5"/>
      <c r="K2" s="6"/>
    </row>
    <row r="3" ht="18.0" customHeight="1">
      <c r="B3" s="12" t="s">
        <v>9</v>
      </c>
      <c r="C3" s="43" t="s">
        <v>4</v>
      </c>
      <c r="D3" s="28"/>
      <c r="E3" s="12"/>
      <c r="F3" s="98" t="s">
        <v>101</v>
      </c>
      <c r="G3" s="98" t="s">
        <v>62</v>
      </c>
      <c r="H3" s="98" t="s">
        <v>171</v>
      </c>
      <c r="I3" s="98" t="s">
        <v>100</v>
      </c>
      <c r="J3" s="98" t="s">
        <v>101</v>
      </c>
      <c r="K3" s="98" t="s">
        <v>62</v>
      </c>
    </row>
    <row r="4" ht="15.0" customHeight="1">
      <c r="B4" s="82" t="s">
        <v>147</v>
      </c>
      <c r="C4" s="182">
        <v>50.0</v>
      </c>
      <c r="D4" s="28"/>
      <c r="E4" s="73" t="s">
        <v>64</v>
      </c>
      <c r="F4" s="183">
        <v>170.0</v>
      </c>
      <c r="G4" s="183">
        <v>0.0</v>
      </c>
      <c r="H4" s="184">
        <v>46124.0</v>
      </c>
      <c r="I4" s="185"/>
      <c r="J4" s="186"/>
      <c r="K4" s="187"/>
    </row>
    <row r="5" ht="15.0" customHeight="1">
      <c r="B5" s="170" t="s">
        <v>150</v>
      </c>
      <c r="C5" s="188">
        <v>150.0</v>
      </c>
      <c r="D5" s="28"/>
      <c r="E5" s="73" t="s">
        <v>172</v>
      </c>
      <c r="F5" s="189">
        <v>150.0</v>
      </c>
      <c r="G5" s="183">
        <v>150.0</v>
      </c>
      <c r="H5" s="184">
        <v>46132.0</v>
      </c>
      <c r="I5" s="185"/>
      <c r="J5" s="186"/>
      <c r="K5" s="187"/>
    </row>
    <row r="6" ht="15.0" customHeight="1">
      <c r="B6" s="170" t="s">
        <v>153</v>
      </c>
      <c r="C6" s="190">
        <v>1244.0</v>
      </c>
      <c r="D6" s="28"/>
      <c r="E6" s="191" t="s">
        <v>173</v>
      </c>
      <c r="F6" s="192">
        <v>45.0</v>
      </c>
      <c r="G6" s="193">
        <v>45.0</v>
      </c>
      <c r="H6" s="194"/>
      <c r="I6" s="185"/>
      <c r="J6" s="195"/>
      <c r="K6" s="187"/>
    </row>
    <row r="7" ht="15.0" customHeight="1">
      <c r="B7" s="77" t="s">
        <v>162</v>
      </c>
      <c r="C7" s="196">
        <f>1200-400</f>
        <v>800</v>
      </c>
      <c r="D7" s="28"/>
      <c r="E7" s="101" t="s">
        <v>174</v>
      </c>
      <c r="F7" s="197">
        <v>80.0</v>
      </c>
      <c r="G7" s="198">
        <v>80.0</v>
      </c>
      <c r="H7" s="184">
        <v>46139.0</v>
      </c>
      <c r="I7" s="199"/>
      <c r="J7" s="195"/>
      <c r="K7" s="187"/>
    </row>
    <row r="8" ht="15.0" customHeight="1">
      <c r="B8" s="103" t="s">
        <v>175</v>
      </c>
      <c r="C8" s="200">
        <f>122+10+20</f>
        <v>152</v>
      </c>
      <c r="D8" s="28"/>
      <c r="E8" s="170" t="s">
        <v>176</v>
      </c>
      <c r="F8" s="192">
        <v>75.0</v>
      </c>
      <c r="G8" s="201">
        <v>75.0</v>
      </c>
      <c r="H8" s="184">
        <v>46139.0</v>
      </c>
      <c r="I8" s="199"/>
      <c r="J8" s="195"/>
      <c r="K8" s="187"/>
    </row>
    <row r="9" ht="15.0" customHeight="1">
      <c r="B9" s="77" t="s">
        <v>177</v>
      </c>
      <c r="C9" s="196">
        <v>120.0</v>
      </c>
      <c r="D9" s="28"/>
      <c r="E9" s="202" t="s">
        <v>178</v>
      </c>
      <c r="F9" s="192">
        <v>33.69</v>
      </c>
      <c r="G9" s="201">
        <v>33.69</v>
      </c>
      <c r="H9" s="203">
        <v>46139.0</v>
      </c>
      <c r="I9" s="204"/>
      <c r="J9" s="187"/>
      <c r="K9" s="187"/>
    </row>
    <row r="10" ht="15.0" customHeight="1">
      <c r="B10" s="77"/>
      <c r="C10" s="205"/>
      <c r="D10" s="28"/>
      <c r="E10" s="206" t="s">
        <v>173</v>
      </c>
      <c r="F10" s="192">
        <v>45.0</v>
      </c>
      <c r="G10" s="201">
        <v>45.0</v>
      </c>
      <c r="H10" s="207">
        <v>46139.0</v>
      </c>
      <c r="I10" s="208"/>
      <c r="J10" s="187"/>
      <c r="K10" s="187"/>
    </row>
    <row r="11" ht="15.0" customHeight="1">
      <c r="B11" s="77" t="s">
        <v>179</v>
      </c>
      <c r="C11" s="196">
        <v>120.0</v>
      </c>
      <c r="D11" s="28"/>
      <c r="E11" s="82" t="s">
        <v>180</v>
      </c>
      <c r="F11" s="209">
        <v>45.0</v>
      </c>
      <c r="G11" s="209">
        <v>45.0</v>
      </c>
      <c r="H11" s="210"/>
      <c r="I11" s="208"/>
      <c r="J11" s="187"/>
      <c r="K11" s="187"/>
    </row>
    <row r="12" ht="15.0" customHeight="1">
      <c r="B12" s="77" t="s">
        <v>181</v>
      </c>
      <c r="C12" s="196">
        <v>270.0</v>
      </c>
      <c r="D12" s="28"/>
      <c r="E12" s="206" t="s">
        <v>182</v>
      </c>
      <c r="F12" s="211">
        <v>600.0</v>
      </c>
      <c r="G12" s="211">
        <v>0.0</v>
      </c>
      <c r="H12" s="212"/>
      <c r="I12" s="208"/>
      <c r="J12" s="187"/>
      <c r="K12" s="187"/>
    </row>
    <row r="13" ht="15.0" customHeight="1">
      <c r="B13" s="54" t="s">
        <v>16</v>
      </c>
      <c r="C13" s="213">
        <f>SUM(C4:C12)</f>
        <v>2906</v>
      </c>
      <c r="D13" s="28"/>
      <c r="E13" s="206" t="s">
        <v>183</v>
      </c>
      <c r="F13" s="192">
        <v>923.29</v>
      </c>
      <c r="G13" s="201">
        <v>923.29</v>
      </c>
      <c r="H13" s="210"/>
      <c r="I13" s="208"/>
      <c r="J13" s="187"/>
      <c r="K13" s="187"/>
    </row>
    <row r="14" ht="15.0" customHeight="1">
      <c r="B14" s="112"/>
      <c r="C14" s="214"/>
      <c r="D14" s="28"/>
      <c r="E14" s="215" t="s">
        <v>184</v>
      </c>
      <c r="F14" s="216">
        <v>55.0</v>
      </c>
      <c r="G14" s="216">
        <v>55.0</v>
      </c>
      <c r="H14" s="207">
        <v>46142.0</v>
      </c>
      <c r="I14" s="208"/>
      <c r="J14" s="187"/>
      <c r="K14" s="187"/>
    </row>
    <row r="15" ht="15.0" customHeight="1">
      <c r="B15" s="28"/>
      <c r="C15" s="217"/>
      <c r="D15" s="28"/>
      <c r="E15" s="218" t="s">
        <v>185</v>
      </c>
      <c r="F15" s="216">
        <v>170.0</v>
      </c>
      <c r="G15" s="219">
        <f>170</f>
        <v>170</v>
      </c>
      <c r="H15" s="184">
        <v>46139.0</v>
      </c>
      <c r="I15" s="208"/>
      <c r="J15" s="187"/>
      <c r="K15" s="187"/>
    </row>
    <row r="16" ht="15.0" customHeight="1">
      <c r="B16" s="115" t="s">
        <v>77</v>
      </c>
      <c r="C16" s="220">
        <f>SUM(C4:C12)</f>
        <v>2906</v>
      </c>
      <c r="D16" s="28"/>
      <c r="E16" s="218" t="s">
        <v>186</v>
      </c>
      <c r="F16" s="221">
        <v>20.0</v>
      </c>
      <c r="G16" s="221">
        <v>20.0</v>
      </c>
      <c r="H16" s="222"/>
      <c r="I16" s="208"/>
      <c r="J16" s="187"/>
      <c r="K16" s="187"/>
    </row>
    <row r="17" ht="15.0" customHeight="1">
      <c r="B17" s="56"/>
      <c r="C17" s="56"/>
      <c r="D17" s="28"/>
      <c r="E17" s="107"/>
      <c r="F17" s="223"/>
      <c r="G17" s="223"/>
      <c r="H17" s="224"/>
      <c r="I17" s="208"/>
      <c r="J17" s="187"/>
      <c r="K17" s="187"/>
    </row>
    <row r="18" ht="15.0" customHeight="1">
      <c r="B18" s="148" t="s">
        <v>122</v>
      </c>
      <c r="C18" s="225">
        <f>F22+J22</f>
        <v>2411.98</v>
      </c>
      <c r="D18" s="28"/>
      <c r="E18" s="73"/>
      <c r="F18" s="189"/>
      <c r="G18" s="189"/>
      <c r="H18" s="212"/>
      <c r="J18" s="217"/>
      <c r="K18" s="217"/>
    </row>
    <row r="19" ht="15.0" customHeight="1">
      <c r="B19" s="56"/>
      <c r="C19" s="56"/>
      <c r="D19" s="28"/>
      <c r="E19" s="73"/>
      <c r="F19" s="226"/>
      <c r="G19" s="226"/>
      <c r="H19" s="184"/>
      <c r="J19" s="217"/>
      <c r="K19" s="217"/>
    </row>
    <row r="20" ht="15.0" customHeight="1">
      <c r="B20" s="150"/>
      <c r="C20" s="227"/>
      <c r="D20" s="28"/>
      <c r="E20" s="73"/>
      <c r="F20" s="228"/>
      <c r="G20" s="228"/>
      <c r="H20" s="229"/>
      <c r="J20" s="217"/>
      <c r="K20" s="217"/>
    </row>
    <row r="21" ht="15.0" customHeight="1">
      <c r="B21" s="56"/>
      <c r="C21" s="56"/>
      <c r="D21" s="28"/>
      <c r="E21" s="73"/>
      <c r="F21" s="230"/>
      <c r="G21" s="230"/>
      <c r="H21" s="229"/>
      <c r="J21" s="231">
        <v>0.0</v>
      </c>
      <c r="K21" s="217"/>
    </row>
    <row r="22" ht="15.0" customHeight="1">
      <c r="B22" s="166"/>
      <c r="C22" s="168"/>
      <c r="D22" s="28"/>
      <c r="E22" s="73"/>
      <c r="F22" s="230">
        <f t="shared" ref="F22:G22" si="1">SUM(F4:F18)</f>
        <v>2411.98</v>
      </c>
      <c r="G22" s="230">
        <f t="shared" si="1"/>
        <v>1641.98</v>
      </c>
      <c r="H22" s="229"/>
      <c r="I22" s="152"/>
      <c r="J22" s="230">
        <f t="shared" ref="J22:K22" si="2">SUM(J4:J18)</f>
        <v>0</v>
      </c>
      <c r="K22" s="230">
        <f t="shared" si="2"/>
        <v>0</v>
      </c>
    </row>
    <row r="23" ht="15.0" customHeight="1">
      <c r="B23" s="56"/>
      <c r="C23" s="56"/>
      <c r="D23" s="28"/>
      <c r="E23" s="122"/>
      <c r="F23" s="123" t="s">
        <v>86</v>
      </c>
      <c r="G23" s="123" t="s">
        <v>87</v>
      </c>
      <c r="H23" s="232"/>
      <c r="I23" s="152"/>
      <c r="J23" s="123" t="s">
        <v>127</v>
      </c>
      <c r="K23" s="123" t="s">
        <v>87</v>
      </c>
    </row>
    <row r="24" ht="15.0" customHeight="1">
      <c r="B24" s="153"/>
      <c r="C24" s="154"/>
      <c r="D24" s="28"/>
      <c r="E24" s="124"/>
      <c r="F24" s="29"/>
      <c r="G24" s="29"/>
      <c r="H24" s="29"/>
    </row>
    <row r="25" ht="15.0" customHeight="1">
      <c r="D25" s="28"/>
      <c r="E25" s="124"/>
      <c r="F25" s="29"/>
      <c r="G25" s="29"/>
      <c r="H25" s="29"/>
    </row>
    <row r="26" ht="15.0" customHeight="1">
      <c r="B26" s="28"/>
      <c r="C26" s="29"/>
      <c r="D26" s="28"/>
      <c r="E26" s="124"/>
      <c r="F26" s="29"/>
      <c r="G26" s="29"/>
      <c r="H26" s="29"/>
    </row>
    <row r="27" ht="15.0" customHeight="1">
      <c r="B27" s="32"/>
      <c r="D27" s="28"/>
      <c r="E27" s="124"/>
      <c r="F27" s="29"/>
      <c r="G27" s="29"/>
      <c r="H27" s="29"/>
    </row>
    <row r="28" ht="15.0" customHeight="1">
      <c r="D28" s="28"/>
      <c r="E28" s="124"/>
      <c r="F28" s="29"/>
      <c r="G28" s="29"/>
      <c r="H28" s="29"/>
    </row>
    <row r="29" ht="15.0" customHeight="1">
      <c r="B29" s="32"/>
      <c r="C29" s="32"/>
      <c r="D29" s="28"/>
      <c r="E29" s="124"/>
      <c r="F29" s="29"/>
      <c r="G29" s="29"/>
      <c r="H29" s="29"/>
    </row>
    <row r="30" ht="15.0" customHeight="1">
      <c r="D30" s="28"/>
      <c r="E30" s="124"/>
      <c r="F30" s="29"/>
      <c r="G30" s="29"/>
      <c r="H30" s="29"/>
    </row>
    <row r="31" ht="18.0" customHeight="1">
      <c r="D31" s="28"/>
      <c r="E31" s="124"/>
      <c r="F31" s="29"/>
      <c r="G31" s="29"/>
      <c r="H31" s="29"/>
    </row>
    <row r="32" ht="18.0" customHeight="1">
      <c r="B32" s="32"/>
      <c r="D32" s="28"/>
      <c r="E32" s="124"/>
      <c r="F32" s="29"/>
      <c r="G32" s="29"/>
      <c r="H32" s="29"/>
    </row>
    <row r="33" ht="18.0" customHeight="1">
      <c r="E33" s="125"/>
      <c r="F33" s="126"/>
      <c r="G33" s="126"/>
      <c r="H33" s="126"/>
    </row>
    <row r="34" ht="14.25" customHeight="1">
      <c r="E34" s="127"/>
      <c r="F34" s="128"/>
      <c r="G34" s="128"/>
      <c r="H34" s="128"/>
    </row>
    <row r="35" ht="14.25" customHeight="1">
      <c r="E35" s="129"/>
      <c r="F35" s="130"/>
      <c r="G35" s="130"/>
      <c r="H35" s="13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5">
    <mergeCell ref="B20:B21"/>
    <mergeCell ref="C20:C21"/>
    <mergeCell ref="B22:B23"/>
    <mergeCell ref="C22:C23"/>
    <mergeCell ref="B24:B25"/>
    <mergeCell ref="C24:C25"/>
    <mergeCell ref="B27:C28"/>
    <mergeCell ref="B32:C33"/>
    <mergeCell ref="B2:C2"/>
    <mergeCell ref="E2:G2"/>
    <mergeCell ref="I2:K2"/>
    <mergeCell ref="B16:B17"/>
    <mergeCell ref="C16:C17"/>
    <mergeCell ref="B18:B19"/>
    <mergeCell ref="C18:C19"/>
  </mergeCells>
  <conditionalFormatting sqref="H4:H18">
    <cfRule type="expression" dxfId="0" priority="1" stopIfTrue="1">
      <formula>(ISNUMBER($H4))*($H4&lt;TODAY())*($G4&lt;$F4)</formula>
    </cfRule>
  </conditionalFormatting>
  <conditionalFormatting sqref="G4:G18">
    <cfRule type="expression" dxfId="1" priority="2">
      <formula>$G4&gt;=$F4</formula>
    </cfRule>
  </conditionalFormatting>
  <conditionalFormatting sqref="K4:K18">
    <cfRule type="expression" dxfId="2" priority="3" stopIfTrue="1">
      <formula>$K4&gt;=$J4</formula>
    </cfRule>
  </conditionalFormatting>
  <conditionalFormatting sqref="G4:G18">
    <cfRule type="expression" dxfId="3" priority="4">
      <formula>$G4&lt;$F4</formula>
    </cfRule>
  </conditionalFormatting>
  <conditionalFormatting sqref="K4:K18">
    <cfRule type="expression" dxfId="4" priority="5" stopIfTrue="1">
      <formula>$K4&lt;$J4</formula>
    </cfRule>
  </conditionalFormatting>
  <conditionalFormatting sqref="C21">
    <cfRule type="cellIs" dxfId="4" priority="6" stopIfTrue="1" operator="lessThan">
      <formula>0</formula>
    </cfRule>
  </conditionalFormatting>
  <conditionalFormatting sqref="C21">
    <cfRule type="cellIs" dxfId="2" priority="7" stopIfTrue="1" operator="greaterThanOrEqual">
      <formula>0</formula>
    </cfRule>
  </conditionalFormatting>
  <printOptions/>
  <pageMargins bottom="0.7875" footer="0.0" header="0.0" left="0.511805555555555" right="0.511805555555555" top="0.78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3" width="20.29"/>
    <col customWidth="1" min="4" max="4" width="1.43"/>
    <col customWidth="1" min="5" max="5" width="52.14"/>
    <col customWidth="1" min="6" max="6" width="15.14"/>
    <col customWidth="1" min="7" max="8" width="13.0"/>
    <col customWidth="1" min="9" max="9" width="16.86"/>
    <col customWidth="1" min="10" max="10" width="10.0"/>
    <col customWidth="1" min="11" max="25" width="8.71"/>
  </cols>
  <sheetData>
    <row r="1" ht="3.75" customHeight="1">
      <c r="B1" s="29"/>
    </row>
    <row r="2" ht="24.75" customHeight="1">
      <c r="B2" s="41" t="s">
        <v>7</v>
      </c>
      <c r="C2" s="6"/>
      <c r="D2" s="42"/>
      <c r="E2" s="4" t="s">
        <v>61</v>
      </c>
      <c r="F2" s="5"/>
      <c r="G2" s="6"/>
      <c r="H2" s="181"/>
      <c r="I2" s="4" t="s">
        <v>99</v>
      </c>
      <c r="J2" s="5"/>
      <c r="K2" s="6"/>
    </row>
    <row r="3" ht="18.0" customHeight="1">
      <c r="B3" s="12" t="s">
        <v>9</v>
      </c>
      <c r="C3" s="43" t="s">
        <v>4</v>
      </c>
      <c r="D3" s="28"/>
      <c r="E3" s="12"/>
      <c r="F3" s="98" t="s">
        <v>101</v>
      </c>
      <c r="G3" s="98" t="s">
        <v>62</v>
      </c>
      <c r="H3" s="98" t="s">
        <v>171</v>
      </c>
      <c r="I3" s="98" t="s">
        <v>100</v>
      </c>
      <c r="J3" s="98" t="s">
        <v>101</v>
      </c>
      <c r="K3" s="98" t="s">
        <v>62</v>
      </c>
    </row>
    <row r="4" ht="15.0" customHeight="1">
      <c r="B4" s="82" t="s">
        <v>147</v>
      </c>
      <c r="C4" s="233">
        <v>50.0</v>
      </c>
      <c r="D4" s="28"/>
      <c r="E4" s="234" t="s">
        <v>176</v>
      </c>
      <c r="F4" s="235">
        <v>71.0</v>
      </c>
      <c r="G4" s="235">
        <v>0.0</v>
      </c>
      <c r="H4" s="125" t="s">
        <v>187</v>
      </c>
      <c r="I4" s="185" t="s">
        <v>188</v>
      </c>
      <c r="J4" s="236">
        <v>274.92</v>
      </c>
      <c r="K4" s="208"/>
    </row>
    <row r="5" ht="15.0" customHeight="1">
      <c r="B5" s="170" t="s">
        <v>150</v>
      </c>
      <c r="C5" s="237">
        <v>135.0</v>
      </c>
      <c r="D5" s="28"/>
      <c r="E5" s="238" t="s">
        <v>178</v>
      </c>
      <c r="F5" s="178">
        <v>35.0</v>
      </c>
      <c r="G5" s="178">
        <v>0.0</v>
      </c>
      <c r="H5" s="125" t="s">
        <v>187</v>
      </c>
      <c r="I5" s="199" t="s">
        <v>189</v>
      </c>
      <c r="J5" s="195">
        <v>120.0</v>
      </c>
      <c r="K5" s="208"/>
    </row>
    <row r="6" ht="15.0" customHeight="1">
      <c r="B6" s="234" t="s">
        <v>190</v>
      </c>
      <c r="C6" s="239">
        <v>1300.0</v>
      </c>
      <c r="D6" s="28"/>
      <c r="E6" s="191" t="s">
        <v>191</v>
      </c>
      <c r="F6" s="240">
        <v>80.0</v>
      </c>
      <c r="G6" s="240"/>
      <c r="H6" s="203">
        <v>46172.0</v>
      </c>
      <c r="I6" s="199" t="s">
        <v>192</v>
      </c>
      <c r="J6" s="195">
        <v>24.0</v>
      </c>
      <c r="K6" s="208"/>
    </row>
    <row r="7" ht="15.0" customHeight="1">
      <c r="B7" s="82" t="s">
        <v>193</v>
      </c>
      <c r="C7" s="241">
        <v>1000.0</v>
      </c>
      <c r="D7" s="28"/>
      <c r="E7" s="101" t="s">
        <v>194</v>
      </c>
      <c r="F7" s="242">
        <v>45.0</v>
      </c>
      <c r="G7" s="242"/>
      <c r="H7" s="125" t="s">
        <v>195</v>
      </c>
      <c r="I7" s="199" t="s">
        <v>196</v>
      </c>
      <c r="J7" s="195">
        <f>10+11+15+23+35</f>
        <v>94</v>
      </c>
      <c r="K7" s="208"/>
    </row>
    <row r="8" ht="15.0" customHeight="1">
      <c r="B8" s="103"/>
      <c r="C8" s="243"/>
      <c r="D8" s="28"/>
      <c r="E8" s="105" t="s">
        <v>197</v>
      </c>
      <c r="F8" s="177">
        <f>170*2</f>
        <v>340</v>
      </c>
      <c r="G8" s="177"/>
      <c r="H8" s="184">
        <v>46154.0</v>
      </c>
      <c r="I8" s="185" t="s">
        <v>198</v>
      </c>
      <c r="J8" s="236">
        <v>122.0</v>
      </c>
      <c r="K8" s="208"/>
    </row>
    <row r="9" ht="15.0" customHeight="1">
      <c r="B9" s="77"/>
      <c r="C9" s="144"/>
      <c r="D9" s="28"/>
      <c r="E9" s="234" t="s">
        <v>199</v>
      </c>
      <c r="F9" s="235">
        <v>150.0</v>
      </c>
      <c r="G9" s="235"/>
      <c r="H9" s="203">
        <v>46162.0</v>
      </c>
      <c r="I9" s="204">
        <v>99.0</v>
      </c>
      <c r="J9" s="204">
        <v>10.0</v>
      </c>
      <c r="K9" s="208"/>
    </row>
    <row r="10" ht="15.0" customHeight="1">
      <c r="B10" s="77"/>
      <c r="C10" s="136"/>
      <c r="D10" s="28"/>
      <c r="E10" s="238" t="s">
        <v>200</v>
      </c>
      <c r="F10" s="178">
        <v>12.0</v>
      </c>
      <c r="G10" s="178"/>
      <c r="H10" s="244"/>
      <c r="I10" s="204" t="s">
        <v>113</v>
      </c>
      <c r="J10" s="204">
        <f>40+19</f>
        <v>59</v>
      </c>
      <c r="K10" s="208"/>
    </row>
    <row r="11" ht="15.0" customHeight="1">
      <c r="B11" s="77"/>
      <c r="C11" s="144"/>
      <c r="D11" s="28"/>
      <c r="E11" s="101" t="s">
        <v>201</v>
      </c>
      <c r="F11" s="158">
        <v>20.0</v>
      </c>
      <c r="G11" s="158">
        <v>20.0</v>
      </c>
      <c r="H11" s="210"/>
      <c r="I11" s="204" t="s">
        <v>202</v>
      </c>
      <c r="J11" s="204">
        <v>45.0</v>
      </c>
      <c r="K11" s="208"/>
    </row>
    <row r="12" ht="15.0" customHeight="1">
      <c r="B12" s="77"/>
      <c r="C12" s="53"/>
      <c r="D12" s="28"/>
      <c r="E12" s="77" t="s">
        <v>203</v>
      </c>
      <c r="F12" s="158">
        <v>45.0</v>
      </c>
      <c r="G12" s="155">
        <v>45.0</v>
      </c>
      <c r="H12" s="212"/>
      <c r="I12" s="204" t="s">
        <v>79</v>
      </c>
      <c r="J12" s="204">
        <v>25.0</v>
      </c>
      <c r="K12" s="208"/>
    </row>
    <row r="13" ht="15.0" customHeight="1">
      <c r="B13" s="54" t="s">
        <v>16</v>
      </c>
      <c r="C13" s="55">
        <f>SUM(C4:C12)</f>
        <v>2485</v>
      </c>
      <c r="D13" s="28"/>
      <c r="E13" s="107"/>
      <c r="F13" s="245"/>
      <c r="G13" s="177"/>
      <c r="H13" s="210"/>
      <c r="I13" s="204" t="s">
        <v>204</v>
      </c>
      <c r="J13" s="204">
        <v>10.0</v>
      </c>
      <c r="K13" s="208"/>
    </row>
    <row r="14" ht="15.0" customHeight="1">
      <c r="B14" s="112"/>
      <c r="C14" s="113"/>
      <c r="D14" s="28"/>
      <c r="E14" s="107"/>
      <c r="F14" s="178"/>
      <c r="G14" s="178"/>
      <c r="H14" s="244"/>
      <c r="I14" s="204" t="s">
        <v>205</v>
      </c>
      <c r="J14" s="204">
        <v>25.0</v>
      </c>
      <c r="K14" s="208"/>
    </row>
    <row r="15" ht="15.0" customHeight="1">
      <c r="B15" s="28"/>
      <c r="D15" s="28"/>
      <c r="E15" s="77"/>
      <c r="F15" s="158"/>
      <c r="G15" s="158"/>
      <c r="H15" s="210"/>
      <c r="I15" s="204" t="s">
        <v>206</v>
      </c>
      <c r="J15" s="208">
        <f>7+9+12+46+11+48</f>
        <v>133</v>
      </c>
      <c r="K15" s="208"/>
    </row>
    <row r="16" ht="15.0" customHeight="1">
      <c r="B16" s="115" t="s">
        <v>77</v>
      </c>
      <c r="C16" s="116">
        <f>SUM(C4:C12)</f>
        <v>2485</v>
      </c>
      <c r="D16" s="28"/>
      <c r="E16" s="107"/>
      <c r="F16" s="245"/>
      <c r="G16" s="245"/>
      <c r="H16" s="222"/>
      <c r="I16" s="204" t="s">
        <v>120</v>
      </c>
      <c r="J16" s="204">
        <v>36.0</v>
      </c>
      <c r="K16" s="208"/>
    </row>
    <row r="17" ht="15.0" customHeight="1">
      <c r="B17" s="56"/>
      <c r="C17" s="56"/>
      <c r="D17" s="28"/>
      <c r="E17" s="107"/>
      <c r="F17" s="246"/>
      <c r="G17" s="246"/>
      <c r="H17" s="222"/>
      <c r="I17" s="204" t="s">
        <v>207</v>
      </c>
      <c r="J17" s="204">
        <v>6.0</v>
      </c>
      <c r="K17" s="208"/>
    </row>
    <row r="18" ht="15.0" customHeight="1">
      <c r="B18" s="148" t="s">
        <v>122</v>
      </c>
      <c r="C18" s="149">
        <f>F22+J22</f>
        <v>1716.92</v>
      </c>
      <c r="D18" s="28"/>
      <c r="E18" s="73"/>
      <c r="F18" s="156"/>
      <c r="G18" s="156"/>
      <c r="H18" s="212"/>
    </row>
    <row r="19" ht="15.0" customHeight="1">
      <c r="B19" s="56"/>
      <c r="C19" s="56"/>
      <c r="D19" s="28"/>
      <c r="E19" s="73"/>
      <c r="F19" s="156"/>
      <c r="G19" s="156"/>
      <c r="H19" s="212"/>
    </row>
    <row r="20" ht="15.0" customHeight="1">
      <c r="B20" s="150" t="s">
        <v>125</v>
      </c>
      <c r="C20" s="180"/>
      <c r="D20" s="28"/>
      <c r="E20" s="73"/>
      <c r="F20" s="121"/>
      <c r="G20" s="121"/>
      <c r="H20" s="229"/>
    </row>
    <row r="21" ht="15.0" customHeight="1">
      <c r="B21" s="56"/>
      <c r="C21" s="56"/>
      <c r="D21" s="28"/>
      <c r="E21" s="73"/>
      <c r="F21" s="121"/>
      <c r="G21" s="121"/>
      <c r="H21" s="229"/>
    </row>
    <row r="22" ht="15.0" customHeight="1">
      <c r="B22" s="166"/>
      <c r="C22" s="168"/>
      <c r="D22" s="28"/>
      <c r="E22" s="73"/>
      <c r="F22" s="121">
        <f>SUM(F4:F21) - G22
</f>
        <v>733</v>
      </c>
      <c r="G22" s="121">
        <f>SUM(G4:G21)</f>
        <v>65</v>
      </c>
      <c r="H22" s="229"/>
      <c r="I22" s="152"/>
      <c r="J22" s="121">
        <f>SUM(J4:J21) - K22
</f>
        <v>983.92</v>
      </c>
      <c r="K22" s="121">
        <f>SUM(K4:K21)</f>
        <v>0</v>
      </c>
    </row>
    <row r="23" ht="15.0" customHeight="1">
      <c r="B23" s="56"/>
      <c r="C23" s="56"/>
      <c r="D23" s="28"/>
      <c r="E23" s="122"/>
      <c r="F23" s="123" t="s">
        <v>86</v>
      </c>
      <c r="G23" s="123" t="s">
        <v>87</v>
      </c>
      <c r="H23" s="232"/>
      <c r="I23" s="152"/>
      <c r="J23" s="123" t="s">
        <v>127</v>
      </c>
      <c r="K23" s="123" t="s">
        <v>87</v>
      </c>
    </row>
    <row r="24" ht="15.0" customHeight="1">
      <c r="B24" s="153"/>
      <c r="C24" s="154"/>
      <c r="D24" s="28"/>
      <c r="E24" s="124"/>
      <c r="F24" s="29"/>
      <c r="G24" s="29"/>
      <c r="H24" s="29"/>
    </row>
    <row r="25" ht="15.0" customHeight="1">
      <c r="D25" s="28"/>
      <c r="E25" s="124"/>
      <c r="F25" s="29"/>
      <c r="G25" s="29"/>
      <c r="H25" s="29"/>
    </row>
    <row r="26" ht="15.0" customHeight="1">
      <c r="B26" s="28"/>
      <c r="C26" s="29"/>
      <c r="D26" s="28"/>
      <c r="E26" s="124"/>
      <c r="F26" s="29"/>
      <c r="G26" s="29"/>
      <c r="H26" s="29"/>
    </row>
    <row r="27" ht="15.0" customHeight="1">
      <c r="B27" s="32"/>
      <c r="D27" s="28"/>
      <c r="E27" s="124"/>
      <c r="F27" s="29"/>
      <c r="G27" s="29"/>
      <c r="H27" s="29"/>
    </row>
    <row r="28" ht="15.0" customHeight="1">
      <c r="D28" s="28"/>
      <c r="E28" s="124"/>
      <c r="F28" s="29"/>
      <c r="G28" s="29"/>
      <c r="H28" s="29"/>
    </row>
    <row r="29" ht="15.0" customHeight="1">
      <c r="B29" s="32"/>
      <c r="C29" s="32"/>
      <c r="D29" s="28"/>
      <c r="E29" s="124"/>
      <c r="F29" s="29"/>
      <c r="G29" s="29"/>
      <c r="H29" s="29"/>
    </row>
    <row r="30" ht="15.0" customHeight="1">
      <c r="D30" s="28"/>
      <c r="E30" s="124"/>
      <c r="F30" s="29"/>
      <c r="G30" s="29"/>
      <c r="H30" s="29"/>
    </row>
    <row r="31" ht="18.0" customHeight="1">
      <c r="D31" s="28"/>
      <c r="E31" s="124"/>
      <c r="F31" s="29"/>
      <c r="G31" s="29"/>
      <c r="H31" s="29"/>
    </row>
    <row r="32" ht="18.0" customHeight="1">
      <c r="B32" s="32"/>
      <c r="D32" s="28"/>
      <c r="E32" s="124"/>
      <c r="F32" s="29"/>
      <c r="G32" s="29"/>
      <c r="H32" s="29"/>
    </row>
    <row r="33" ht="18.0" customHeight="1">
      <c r="E33" s="125"/>
      <c r="F33" s="126"/>
      <c r="G33" s="126"/>
      <c r="H33" s="126"/>
    </row>
    <row r="34" ht="14.25" customHeight="1">
      <c r="E34" s="127"/>
      <c r="F34" s="128"/>
      <c r="G34" s="128"/>
      <c r="H34" s="128"/>
    </row>
    <row r="35" ht="14.25" customHeight="1">
      <c r="E35" s="129"/>
      <c r="F35" s="130"/>
      <c r="G35" s="130"/>
      <c r="H35" s="13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5">
    <mergeCell ref="B20:B21"/>
    <mergeCell ref="C20:C21"/>
    <mergeCell ref="B22:B23"/>
    <mergeCell ref="C22:C23"/>
    <mergeCell ref="B24:B25"/>
    <mergeCell ref="C24:C25"/>
    <mergeCell ref="B27:C28"/>
    <mergeCell ref="B32:C33"/>
    <mergeCell ref="B2:C2"/>
    <mergeCell ref="E2:G2"/>
    <mergeCell ref="I2:K2"/>
    <mergeCell ref="B16:B17"/>
    <mergeCell ref="C16:C17"/>
    <mergeCell ref="B18:B19"/>
    <mergeCell ref="C18:C19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6.86"/>
    <col customWidth="1" min="3" max="3" width="20.29"/>
    <col customWidth="1" min="4" max="4" width="1.43"/>
    <col customWidth="1" min="5" max="5" width="52.14"/>
    <col customWidth="1" min="6" max="6" width="15.14"/>
    <col customWidth="1" min="7" max="8" width="13.0"/>
    <col customWidth="1" min="9" max="9" width="16.86"/>
    <col customWidth="1" min="10" max="10" width="10.0"/>
    <col customWidth="1" min="11" max="25" width="8.71"/>
  </cols>
  <sheetData>
    <row r="1" ht="3.75" customHeight="1">
      <c r="B1" s="29"/>
    </row>
    <row r="2" ht="24.75" customHeight="1">
      <c r="B2" s="41" t="s">
        <v>7</v>
      </c>
      <c r="C2" s="6"/>
      <c r="D2" s="42"/>
      <c r="E2" s="4" t="s">
        <v>61</v>
      </c>
      <c r="F2" s="5"/>
      <c r="G2" s="6"/>
      <c r="H2" s="181"/>
      <c r="I2" s="4" t="s">
        <v>99</v>
      </c>
      <c r="J2" s="5"/>
      <c r="K2" s="6"/>
    </row>
    <row r="3" ht="18.0" customHeight="1">
      <c r="B3" s="12" t="s">
        <v>9</v>
      </c>
      <c r="C3" s="43" t="s">
        <v>4</v>
      </c>
      <c r="D3" s="28"/>
      <c r="E3" s="12"/>
      <c r="F3" s="98" t="s">
        <v>101</v>
      </c>
      <c r="G3" s="98" t="s">
        <v>62</v>
      </c>
      <c r="H3" s="98" t="s">
        <v>171</v>
      </c>
      <c r="I3" s="98" t="s">
        <v>100</v>
      </c>
      <c r="J3" s="98" t="s">
        <v>101</v>
      </c>
      <c r="K3" s="98" t="s">
        <v>62</v>
      </c>
    </row>
    <row r="4" ht="15.0" customHeight="1">
      <c r="B4" s="82" t="s">
        <v>147</v>
      </c>
      <c r="C4" s="233">
        <v>50.0</v>
      </c>
      <c r="D4" s="28"/>
      <c r="E4" s="234" t="s">
        <v>176</v>
      </c>
      <c r="F4" s="235"/>
      <c r="G4" s="235"/>
      <c r="H4" s="125" t="s">
        <v>187</v>
      </c>
      <c r="I4" s="247" t="s">
        <v>198</v>
      </c>
      <c r="J4" s="248">
        <v>122.0</v>
      </c>
      <c r="K4" s="208"/>
    </row>
    <row r="5" ht="15.0" customHeight="1">
      <c r="B5" s="170" t="s">
        <v>150</v>
      </c>
      <c r="C5" s="237">
        <v>135.0</v>
      </c>
      <c r="D5" s="28"/>
      <c r="E5" s="238" t="s">
        <v>178</v>
      </c>
      <c r="F5" s="178"/>
      <c r="G5" s="178"/>
      <c r="H5" s="125" t="s">
        <v>187</v>
      </c>
      <c r="I5" s="199"/>
      <c r="J5" s="195"/>
      <c r="K5" s="208"/>
    </row>
    <row r="6" ht="15.0" customHeight="1">
      <c r="B6" s="234" t="s">
        <v>190</v>
      </c>
      <c r="C6" s="239">
        <v>1300.0</v>
      </c>
      <c r="D6" s="28"/>
      <c r="E6" s="191" t="s">
        <v>191</v>
      </c>
      <c r="F6" s="240">
        <v>80.0</v>
      </c>
      <c r="G6" s="240"/>
      <c r="H6" s="203">
        <v>46172.0</v>
      </c>
      <c r="I6" s="199"/>
      <c r="J6" s="195"/>
      <c r="K6" s="208"/>
    </row>
    <row r="7" ht="15.0" customHeight="1">
      <c r="B7" s="82" t="s">
        <v>193</v>
      </c>
      <c r="C7" s="241">
        <v>1000.0</v>
      </c>
      <c r="D7" s="28"/>
      <c r="E7" s="101" t="s">
        <v>194</v>
      </c>
      <c r="F7" s="242">
        <v>45.0</v>
      </c>
      <c r="G7" s="242"/>
      <c r="H7" s="125" t="s">
        <v>195</v>
      </c>
      <c r="I7" s="199"/>
      <c r="J7" s="195"/>
      <c r="K7" s="208"/>
    </row>
    <row r="8" ht="15.0" customHeight="1">
      <c r="B8" s="103"/>
      <c r="C8" s="243"/>
      <c r="D8" s="28"/>
      <c r="E8" s="105" t="s">
        <v>197</v>
      </c>
      <c r="F8" s="177">
        <v>170.0</v>
      </c>
      <c r="G8" s="177"/>
      <c r="H8" s="184">
        <v>46154.0</v>
      </c>
      <c r="I8" s="185"/>
      <c r="J8" s="236"/>
      <c r="K8" s="208"/>
    </row>
    <row r="9" ht="15.0" customHeight="1">
      <c r="B9" s="77"/>
      <c r="C9" s="144"/>
      <c r="D9" s="28"/>
      <c r="E9" s="234" t="s">
        <v>199</v>
      </c>
      <c r="F9" s="235">
        <v>150.0</v>
      </c>
      <c r="G9" s="235"/>
      <c r="H9" s="203">
        <v>46162.0</v>
      </c>
      <c r="I9" s="204"/>
      <c r="J9" s="208"/>
      <c r="K9" s="208"/>
    </row>
    <row r="10" ht="15.0" customHeight="1">
      <c r="B10" s="77"/>
      <c r="C10" s="136"/>
      <c r="D10" s="28"/>
      <c r="E10" s="238" t="s">
        <v>200</v>
      </c>
      <c r="F10" s="178">
        <v>12.0</v>
      </c>
      <c r="G10" s="178"/>
      <c r="H10" s="244"/>
      <c r="I10" s="208"/>
      <c r="J10" s="208"/>
      <c r="K10" s="208"/>
    </row>
    <row r="11" ht="15.0" customHeight="1">
      <c r="B11" s="77"/>
      <c r="C11" s="144"/>
      <c r="D11" s="28"/>
      <c r="E11" s="101"/>
      <c r="F11" s="177"/>
      <c r="G11" s="177"/>
      <c r="H11" s="210"/>
      <c r="I11" s="208"/>
      <c r="J11" s="208"/>
      <c r="K11" s="208"/>
    </row>
    <row r="12" ht="15.0" customHeight="1">
      <c r="B12" s="77"/>
      <c r="C12" s="53"/>
      <c r="D12" s="28"/>
      <c r="E12" s="77"/>
      <c r="F12" s="177"/>
      <c r="G12" s="249"/>
      <c r="H12" s="212"/>
      <c r="I12" s="208"/>
      <c r="J12" s="208"/>
      <c r="K12" s="208"/>
    </row>
    <row r="13" ht="15.0" customHeight="1">
      <c r="B13" s="54" t="s">
        <v>16</v>
      </c>
      <c r="C13" s="55">
        <f>SUM(C4:C12)</f>
        <v>2485</v>
      </c>
      <c r="D13" s="28"/>
      <c r="E13" s="107"/>
      <c r="F13" s="245"/>
      <c r="G13" s="177"/>
      <c r="H13" s="210"/>
      <c r="I13" s="208"/>
      <c r="J13" s="208"/>
      <c r="K13" s="208"/>
    </row>
    <row r="14" ht="15.0" customHeight="1">
      <c r="B14" s="112"/>
      <c r="C14" s="113"/>
      <c r="D14" s="28"/>
      <c r="E14" s="107"/>
      <c r="F14" s="178"/>
      <c r="G14" s="178"/>
      <c r="H14" s="244"/>
      <c r="I14" s="208"/>
      <c r="J14" s="208"/>
      <c r="K14" s="208"/>
    </row>
    <row r="15" ht="15.0" customHeight="1">
      <c r="B15" s="28"/>
      <c r="D15" s="28"/>
      <c r="E15" s="77"/>
      <c r="F15" s="158"/>
      <c r="G15" s="158"/>
      <c r="H15" s="210"/>
      <c r="I15" s="208"/>
      <c r="J15" s="208"/>
      <c r="K15" s="208"/>
    </row>
    <row r="16" ht="15.0" customHeight="1">
      <c r="B16" s="115" t="s">
        <v>77</v>
      </c>
      <c r="C16" s="116">
        <f>SUM(C4:C12)</f>
        <v>2485</v>
      </c>
      <c r="D16" s="28"/>
      <c r="E16" s="107"/>
      <c r="F16" s="245"/>
      <c r="G16" s="245"/>
      <c r="H16" s="222"/>
      <c r="I16" s="208"/>
      <c r="J16" s="208"/>
      <c r="K16" s="208"/>
    </row>
    <row r="17" ht="15.0" customHeight="1">
      <c r="B17" s="56"/>
      <c r="C17" s="56"/>
      <c r="D17" s="28"/>
      <c r="E17" s="107"/>
      <c r="F17" s="246"/>
      <c r="G17" s="246"/>
      <c r="H17" s="222"/>
      <c r="I17" s="208"/>
      <c r="J17" s="208"/>
      <c r="K17" s="208"/>
    </row>
    <row r="18" ht="15.0" customHeight="1">
      <c r="B18" s="148" t="s">
        <v>122</v>
      </c>
      <c r="C18" s="149">
        <f>F22+J22</f>
        <v>579</v>
      </c>
      <c r="D18" s="28"/>
      <c r="E18" s="73"/>
      <c r="F18" s="156"/>
      <c r="G18" s="156"/>
      <c r="H18" s="212"/>
    </row>
    <row r="19" ht="15.0" customHeight="1">
      <c r="B19" s="56"/>
      <c r="C19" s="56"/>
      <c r="D19" s="28"/>
      <c r="E19" s="73"/>
      <c r="F19" s="156"/>
      <c r="G19" s="156"/>
      <c r="H19" s="212"/>
    </row>
    <row r="20" ht="15.0" customHeight="1">
      <c r="B20" s="150" t="s">
        <v>125</v>
      </c>
      <c r="C20" s="180"/>
      <c r="D20" s="28"/>
      <c r="E20" s="73"/>
      <c r="F20" s="121"/>
      <c r="G20" s="121"/>
      <c r="H20" s="229"/>
    </row>
    <row r="21" ht="15.0" customHeight="1">
      <c r="B21" s="56"/>
      <c r="C21" s="56"/>
      <c r="D21" s="28"/>
      <c r="E21" s="73"/>
      <c r="F21" s="121"/>
      <c r="G21" s="121"/>
      <c r="H21" s="229"/>
    </row>
    <row r="22" ht="15.0" customHeight="1">
      <c r="B22" s="166"/>
      <c r="C22" s="168"/>
      <c r="D22" s="28"/>
      <c r="E22" s="73"/>
      <c r="F22" s="121">
        <f>SUM(F4:F21) - G22
</f>
        <v>457</v>
      </c>
      <c r="G22" s="121">
        <f>SUM(G4:G21)</f>
        <v>0</v>
      </c>
      <c r="H22" s="229"/>
      <c r="I22" s="152"/>
      <c r="J22" s="121">
        <f>SUM(J4:J21) - K22
</f>
        <v>122</v>
      </c>
      <c r="K22" s="121">
        <f>SUM(K4:K21)</f>
        <v>0</v>
      </c>
    </row>
    <row r="23" ht="15.0" customHeight="1">
      <c r="B23" s="56"/>
      <c r="C23" s="56"/>
      <c r="D23" s="28"/>
      <c r="E23" s="122"/>
      <c r="F23" s="123" t="s">
        <v>86</v>
      </c>
      <c r="G23" s="123" t="s">
        <v>87</v>
      </c>
      <c r="H23" s="232"/>
      <c r="I23" s="152"/>
      <c r="J23" s="123" t="s">
        <v>127</v>
      </c>
      <c r="K23" s="123" t="s">
        <v>87</v>
      </c>
    </row>
    <row r="24" ht="15.0" customHeight="1">
      <c r="B24" s="153"/>
      <c r="C24" s="154"/>
      <c r="D24" s="28"/>
      <c r="E24" s="124"/>
      <c r="F24" s="29"/>
      <c r="G24" s="29"/>
      <c r="H24" s="29"/>
    </row>
    <row r="25" ht="15.0" customHeight="1">
      <c r="D25" s="28"/>
      <c r="E25" s="124"/>
      <c r="F25" s="29"/>
      <c r="G25" s="29"/>
      <c r="H25" s="29"/>
    </row>
    <row r="26" ht="15.0" customHeight="1">
      <c r="B26" s="28"/>
      <c r="C26" s="29"/>
      <c r="D26" s="28"/>
      <c r="E26" s="124"/>
      <c r="F26" s="29"/>
      <c r="G26" s="29"/>
      <c r="H26" s="29"/>
    </row>
    <row r="27" ht="15.0" customHeight="1">
      <c r="B27" s="32"/>
      <c r="D27" s="28"/>
      <c r="E27" s="124"/>
      <c r="F27" s="29"/>
      <c r="G27" s="29"/>
      <c r="H27" s="29"/>
    </row>
    <row r="28" ht="15.0" customHeight="1">
      <c r="D28" s="28"/>
      <c r="E28" s="124"/>
      <c r="F28" s="29"/>
      <c r="G28" s="29"/>
      <c r="H28" s="29"/>
    </row>
    <row r="29" ht="15.0" customHeight="1">
      <c r="B29" s="32"/>
      <c r="C29" s="32"/>
      <c r="D29" s="28"/>
      <c r="E29" s="124"/>
      <c r="F29" s="29"/>
      <c r="G29" s="29"/>
      <c r="H29" s="29"/>
    </row>
    <row r="30" ht="15.0" customHeight="1">
      <c r="D30" s="28"/>
      <c r="E30" s="124"/>
      <c r="F30" s="29"/>
      <c r="G30" s="29"/>
      <c r="H30" s="29"/>
    </row>
    <row r="31" ht="18.0" customHeight="1">
      <c r="D31" s="28"/>
      <c r="E31" s="124"/>
      <c r="F31" s="29"/>
      <c r="G31" s="29"/>
      <c r="H31" s="29"/>
    </row>
    <row r="32" ht="18.0" customHeight="1">
      <c r="B32" s="32"/>
      <c r="D32" s="28"/>
      <c r="E32" s="124"/>
      <c r="F32" s="29"/>
      <c r="G32" s="29"/>
      <c r="H32" s="29"/>
    </row>
    <row r="33" ht="18.0" customHeight="1">
      <c r="E33" s="125"/>
      <c r="F33" s="126"/>
      <c r="G33" s="126"/>
      <c r="H33" s="126"/>
    </row>
    <row r="34" ht="14.25" customHeight="1">
      <c r="E34" s="127"/>
      <c r="F34" s="128"/>
      <c r="G34" s="128"/>
      <c r="H34" s="128"/>
    </row>
    <row r="35" ht="14.25" customHeight="1">
      <c r="E35" s="129"/>
      <c r="F35" s="130"/>
      <c r="G35" s="130"/>
      <c r="H35" s="13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5">
    <mergeCell ref="B20:B21"/>
    <mergeCell ref="C20:C21"/>
    <mergeCell ref="B22:B23"/>
    <mergeCell ref="C22:C23"/>
    <mergeCell ref="B24:B25"/>
    <mergeCell ref="C24:C25"/>
    <mergeCell ref="B27:C28"/>
    <mergeCell ref="B32:C33"/>
    <mergeCell ref="B2:C2"/>
    <mergeCell ref="E2:G2"/>
    <mergeCell ref="I2:K2"/>
    <mergeCell ref="B16:B17"/>
    <mergeCell ref="C16:C17"/>
    <mergeCell ref="B18:B19"/>
    <mergeCell ref="C18:C19"/>
  </mergeCells>
  <printOptions/>
  <pageMargins bottom="0.7875" footer="0.0" header="0.0" left="0.511805555555555" right="0.511805555555555" top="0.7875"/>
  <pageSetup paperSize="9" orientation="portrait"/>
  <drawing r:id="rId1"/>
</worksheet>
</file>